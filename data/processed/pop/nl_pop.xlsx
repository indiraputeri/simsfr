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709"/>
  <workbookPr/>
  <mc:AlternateContent xmlns:mc="http://schemas.openxmlformats.org/markup-compatibility/2006">
    <mc:Choice Requires="x15">
      <x15ac:absPath xmlns:x15ac="http://schemas.microsoft.com/office/spreadsheetml/2010/11/ac" url="/Users/indirapkinasih/R Project/LombokMap/data/processed/"/>
    </mc:Choice>
  </mc:AlternateContent>
  <bookViews>
    <workbookView xWindow="700" yWindow="600" windowWidth="12620" windowHeight="15220" tabRatio="500"/>
  </bookViews>
  <sheets>
    <sheet name="Sheet1" sheetId="1" r:id="rId1"/>
  </sheets>
  <definedNames>
    <definedName name="_xlnm._FilterDatabase" localSheetId="0" hidden="1">Sheet1!$B$1:$B$34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" i="1" l="1"/>
  <c r="G3" i="1"/>
  <c r="E4" i="1"/>
  <c r="G4" i="1"/>
  <c r="E5" i="1"/>
  <c r="G5" i="1"/>
  <c r="E2" i="1"/>
  <c r="G2" i="1"/>
  <c r="E19" i="1"/>
  <c r="G19" i="1"/>
  <c r="E18" i="1"/>
  <c r="G18" i="1"/>
  <c r="E17" i="1"/>
  <c r="G17" i="1"/>
  <c r="E20" i="1"/>
  <c r="G20" i="1"/>
  <c r="E34" i="1"/>
  <c r="G34" i="1"/>
  <c r="E33" i="1"/>
  <c r="G33" i="1"/>
  <c r="E32" i="1"/>
  <c r="G32" i="1"/>
  <c r="E27" i="1"/>
  <c r="G27" i="1"/>
  <c r="E26" i="1"/>
  <c r="G26" i="1"/>
  <c r="E25" i="1"/>
  <c r="G25" i="1"/>
  <c r="E24" i="1"/>
  <c r="G24" i="1"/>
  <c r="E23" i="1"/>
  <c r="G23" i="1"/>
  <c r="E12" i="1"/>
  <c r="G12" i="1"/>
  <c r="E10" i="1"/>
  <c r="G10" i="1"/>
  <c r="E8" i="1"/>
  <c r="G8" i="1"/>
  <c r="E22" i="1"/>
  <c r="G22" i="1"/>
  <c r="E21" i="1"/>
  <c r="G21" i="1"/>
  <c r="E9" i="1"/>
  <c r="G9" i="1"/>
  <c r="E7" i="1"/>
  <c r="G7" i="1"/>
  <c r="E6" i="1"/>
  <c r="G6" i="1"/>
  <c r="E31" i="1"/>
  <c r="G31" i="1"/>
  <c r="E30" i="1"/>
  <c r="G30" i="1"/>
  <c r="E29" i="1"/>
  <c r="G29" i="1"/>
  <c r="E28" i="1"/>
  <c r="G28" i="1"/>
  <c r="E16" i="1"/>
  <c r="G16" i="1"/>
  <c r="E15" i="1"/>
  <c r="G15" i="1"/>
  <c r="E14" i="1"/>
  <c r="G14" i="1"/>
  <c r="E13" i="1"/>
  <c r="G13" i="1"/>
  <c r="E11" i="1"/>
  <c r="G11" i="1"/>
</calcChain>
</file>

<file path=xl/sharedStrings.xml><?xml version="1.0" encoding="utf-8"?>
<sst xmlns="http://schemas.openxmlformats.org/spreadsheetml/2006/main" count="73" uniqueCount="42">
  <si>
    <t>NAMOBJ</t>
  </si>
  <si>
    <t>WADMKC</t>
  </si>
  <si>
    <t>male</t>
  </si>
  <si>
    <t>female</t>
  </si>
  <si>
    <t>Total</t>
  </si>
  <si>
    <t>area (km2)</t>
  </si>
  <si>
    <t>pop density</t>
  </si>
  <si>
    <t>Sigar Penjalin</t>
  </si>
  <si>
    <t>Tanjung</t>
  </si>
  <si>
    <t>Sokong</t>
  </si>
  <si>
    <t>Tegal Maja</t>
  </si>
  <si>
    <t>Jenggala</t>
  </si>
  <si>
    <t>Bentek</t>
  </si>
  <si>
    <t>Gangga</t>
  </si>
  <si>
    <t>Genggelang</t>
  </si>
  <si>
    <t>Sesait</t>
  </si>
  <si>
    <t>Kayangan</t>
  </si>
  <si>
    <t>Rempek</t>
  </si>
  <si>
    <t>Senaru</t>
  </si>
  <si>
    <t>Bayan</t>
  </si>
  <si>
    <t>Selengen</t>
  </si>
  <si>
    <t>Loloan</t>
  </si>
  <si>
    <t>Anyar</t>
  </si>
  <si>
    <t>Akarakar</t>
  </si>
  <si>
    <t>Sukadana</t>
  </si>
  <si>
    <t>Teniga</t>
  </si>
  <si>
    <t>Medana</t>
  </si>
  <si>
    <t>Pemenang Timur</t>
  </si>
  <si>
    <t>Pemenang</t>
  </si>
  <si>
    <t>Sambik Bangkol</t>
  </si>
  <si>
    <t>Gondang</t>
  </si>
  <si>
    <t>Dangiang</t>
  </si>
  <si>
    <t>Pendua</t>
  </si>
  <si>
    <t>Santong</t>
  </si>
  <si>
    <t>Gumantar</t>
  </si>
  <si>
    <t>Salut</t>
  </si>
  <si>
    <t>Mumbul Sari</t>
  </si>
  <si>
    <t>Karang Bajo</t>
  </si>
  <si>
    <t>Sambik Elen</t>
  </si>
  <si>
    <t>Malaka</t>
  </si>
  <si>
    <t>Pemenang Barat</t>
  </si>
  <si>
    <t>Gili Indah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</si>
</sst>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5" zoomScale="110" zoomScaleNormal="110" zoomScalePageLayoutView="110" workbookViewId="0">
      <selection activeCell="F41" sqref="F41"/>
    </sheetView>
  </sheetViews>
  <sheetFormatPr baseColWidth="10" defaultRowHeight="16" x14ac:dyDescent="0.2"/>
  <cols>
    <col min="1" max="1" width="16.1640625" customWidth="1"/>
    <col min="2" max="2" width="13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5272</v>
      </c>
      <c r="D2">
        <v>5350</v>
      </c>
      <c r="E2">
        <f>C2+D2</f>
        <v>10622</v>
      </c>
      <c r="F2">
        <v>14.29</v>
      </c>
      <c r="G2">
        <f>E2/F2</f>
        <v>743.31700489853051</v>
      </c>
    </row>
    <row r="3" spans="1:7" x14ac:dyDescent="0.2">
      <c r="A3" t="s">
        <v>9</v>
      </c>
      <c r="B3" t="s">
        <v>8</v>
      </c>
      <c r="C3">
        <v>5842</v>
      </c>
      <c r="D3">
        <v>5798</v>
      </c>
      <c r="E3">
        <f t="shared" ref="E3:E5" si="0">C3+D3</f>
        <v>11640</v>
      </c>
      <c r="F3">
        <v>31.55</v>
      </c>
      <c r="G3">
        <f t="shared" ref="G3:G5" si="1">E3/F3</f>
        <v>368.93819334389855</v>
      </c>
    </row>
    <row r="4" spans="1:7" x14ac:dyDescent="0.2">
      <c r="A4" t="s">
        <v>10</v>
      </c>
      <c r="B4" t="s">
        <v>8</v>
      </c>
      <c r="C4">
        <v>2999</v>
      </c>
      <c r="D4">
        <v>2988</v>
      </c>
      <c r="E4">
        <f t="shared" si="0"/>
        <v>5987</v>
      </c>
      <c r="F4">
        <v>23.76</v>
      </c>
      <c r="G4">
        <f t="shared" si="1"/>
        <v>251.97811447811446</v>
      </c>
    </row>
    <row r="5" spans="1:7" x14ac:dyDescent="0.2">
      <c r="A5" t="s">
        <v>11</v>
      </c>
      <c r="B5" t="s">
        <v>8</v>
      </c>
      <c r="C5">
        <v>4382</v>
      </c>
      <c r="D5">
        <v>4476</v>
      </c>
      <c r="E5">
        <f t="shared" si="0"/>
        <v>8858</v>
      </c>
      <c r="F5">
        <v>45.87</v>
      </c>
      <c r="G5">
        <f t="shared" si="1"/>
        <v>193.11096577283629</v>
      </c>
    </row>
    <row r="6" spans="1:7" x14ac:dyDescent="0.2">
      <c r="A6" t="s">
        <v>12</v>
      </c>
      <c r="B6" t="s">
        <v>13</v>
      </c>
      <c r="C6">
        <v>5115</v>
      </c>
      <c r="D6">
        <v>5061</v>
      </c>
      <c r="E6">
        <f>C6+D6</f>
        <v>10176</v>
      </c>
      <c r="F6">
        <v>37.270000000000003</v>
      </c>
      <c r="G6">
        <f>E6/F6</f>
        <v>273.03461228870401</v>
      </c>
    </row>
    <row r="7" spans="1:7" x14ac:dyDescent="0.2">
      <c r="A7" t="s">
        <v>14</v>
      </c>
      <c r="B7" t="s">
        <v>13</v>
      </c>
      <c r="C7">
        <v>6969</v>
      </c>
      <c r="D7">
        <v>6744</v>
      </c>
      <c r="E7">
        <f>C7+D7</f>
        <v>13713</v>
      </c>
      <c r="F7">
        <v>29.21</v>
      </c>
      <c r="G7">
        <f>E7/F7</f>
        <v>469.46251283806913</v>
      </c>
    </row>
    <row r="8" spans="1:7" x14ac:dyDescent="0.2">
      <c r="A8" t="s">
        <v>15</v>
      </c>
      <c r="B8" t="s">
        <v>16</v>
      </c>
      <c r="C8">
        <v>5380</v>
      </c>
      <c r="D8">
        <v>5079</v>
      </c>
      <c r="E8">
        <f>C8+D8</f>
        <v>10459</v>
      </c>
      <c r="F8">
        <v>4.96</v>
      </c>
      <c r="G8">
        <f>E8/F8</f>
        <v>2108.6693548387098</v>
      </c>
    </row>
    <row r="9" spans="1:7" x14ac:dyDescent="0.2">
      <c r="A9" t="s">
        <v>17</v>
      </c>
      <c r="B9" t="s">
        <v>13</v>
      </c>
      <c r="C9">
        <v>4642</v>
      </c>
      <c r="D9">
        <v>4489</v>
      </c>
      <c r="E9">
        <f>C9+D9</f>
        <v>9131</v>
      </c>
      <c r="F9">
        <v>30.89</v>
      </c>
      <c r="G9">
        <f>E9/F9</f>
        <v>295.59728067335709</v>
      </c>
    </row>
    <row r="10" spans="1:7" x14ac:dyDescent="0.2">
      <c r="A10" t="s">
        <v>16</v>
      </c>
      <c r="B10" t="s">
        <v>16</v>
      </c>
      <c r="C10">
        <v>3376</v>
      </c>
      <c r="D10">
        <v>3389</v>
      </c>
      <c r="E10">
        <f>C10+D10</f>
        <v>6765</v>
      </c>
      <c r="F10">
        <v>11.4</v>
      </c>
      <c r="G10">
        <f>E10/F10</f>
        <v>593.42105263157896</v>
      </c>
    </row>
    <row r="11" spans="1:7" x14ac:dyDescent="0.2">
      <c r="A11" t="s">
        <v>18</v>
      </c>
      <c r="B11" t="s">
        <v>19</v>
      </c>
      <c r="C11">
        <v>3116</v>
      </c>
      <c r="D11">
        <v>3234</v>
      </c>
      <c r="E11">
        <f>C11+D11</f>
        <v>6350</v>
      </c>
      <c r="F11">
        <v>41.62</v>
      </c>
      <c r="G11">
        <f>E11/F11</f>
        <v>152.57087938491111</v>
      </c>
    </row>
    <row r="12" spans="1:7" x14ac:dyDescent="0.2">
      <c r="A12" t="s">
        <v>20</v>
      </c>
      <c r="B12" t="s">
        <v>16</v>
      </c>
      <c r="C12">
        <v>3380</v>
      </c>
      <c r="D12">
        <v>3372</v>
      </c>
      <c r="E12">
        <f>C12+D12</f>
        <v>6752</v>
      </c>
      <c r="F12">
        <v>22.4</v>
      </c>
      <c r="G12">
        <f>E12/F12</f>
        <v>301.42857142857144</v>
      </c>
    </row>
    <row r="13" spans="1:7" x14ac:dyDescent="0.2">
      <c r="A13" t="s">
        <v>21</v>
      </c>
      <c r="B13" t="s">
        <v>19</v>
      </c>
      <c r="C13">
        <v>1842</v>
      </c>
      <c r="D13">
        <v>1957</v>
      </c>
      <c r="E13">
        <f t="shared" ref="E13:E19" si="2">C13+D13</f>
        <v>3799</v>
      </c>
      <c r="F13">
        <v>33.5</v>
      </c>
      <c r="G13">
        <f t="shared" ref="G13:G19" si="3">E13/F13</f>
        <v>113.40298507462687</v>
      </c>
    </row>
    <row r="14" spans="1:7" x14ac:dyDescent="0.2">
      <c r="A14" t="s">
        <v>22</v>
      </c>
      <c r="B14" t="s">
        <v>19</v>
      </c>
      <c r="C14">
        <v>3659</v>
      </c>
      <c r="D14">
        <v>3774</v>
      </c>
      <c r="E14">
        <f t="shared" si="2"/>
        <v>7433</v>
      </c>
      <c r="F14">
        <v>12.78</v>
      </c>
      <c r="G14">
        <f t="shared" si="3"/>
        <v>581.61189358372462</v>
      </c>
    </row>
    <row r="15" spans="1:7" x14ac:dyDescent="0.2">
      <c r="A15" t="s">
        <v>23</v>
      </c>
      <c r="B15" t="s">
        <v>19</v>
      </c>
      <c r="C15">
        <v>3108</v>
      </c>
      <c r="D15">
        <v>3132</v>
      </c>
      <c r="E15">
        <f t="shared" si="2"/>
        <v>6240</v>
      </c>
      <c r="F15">
        <v>49</v>
      </c>
      <c r="G15">
        <f t="shared" si="3"/>
        <v>127.34693877551021</v>
      </c>
    </row>
    <row r="16" spans="1:7" x14ac:dyDescent="0.2">
      <c r="A16" t="s">
        <v>24</v>
      </c>
      <c r="B16" t="s">
        <v>19</v>
      </c>
      <c r="C16">
        <v>3374</v>
      </c>
      <c r="D16">
        <v>3540</v>
      </c>
      <c r="E16">
        <f t="shared" si="2"/>
        <v>6914</v>
      </c>
      <c r="F16">
        <v>17.260000000000002</v>
      </c>
      <c r="G16">
        <f t="shared" si="3"/>
        <v>400.57937427578213</v>
      </c>
    </row>
    <row r="17" spans="1:7" x14ac:dyDescent="0.2">
      <c r="A17" t="s">
        <v>8</v>
      </c>
      <c r="B17" t="s">
        <v>8</v>
      </c>
      <c r="C17">
        <v>4637</v>
      </c>
      <c r="D17">
        <v>4774</v>
      </c>
      <c r="E17">
        <f t="shared" si="2"/>
        <v>9411</v>
      </c>
      <c r="F17">
        <v>4.2699999999999996</v>
      </c>
      <c r="G17">
        <f t="shared" si="3"/>
        <v>2203.9812646370024</v>
      </c>
    </row>
    <row r="18" spans="1:7" x14ac:dyDescent="0.2">
      <c r="A18" t="s">
        <v>25</v>
      </c>
      <c r="B18" t="s">
        <v>8</v>
      </c>
      <c r="C18">
        <v>1446</v>
      </c>
      <c r="D18">
        <v>1467</v>
      </c>
      <c r="E18">
        <f t="shared" si="2"/>
        <v>2913</v>
      </c>
      <c r="F18">
        <v>14.4</v>
      </c>
      <c r="G18">
        <f t="shared" si="3"/>
        <v>202.29166666666666</v>
      </c>
    </row>
    <row r="19" spans="1:7" x14ac:dyDescent="0.2">
      <c r="A19" t="s">
        <v>26</v>
      </c>
      <c r="B19" t="s">
        <v>8</v>
      </c>
      <c r="C19">
        <v>2821</v>
      </c>
      <c r="D19">
        <v>2878</v>
      </c>
      <c r="E19">
        <f t="shared" si="2"/>
        <v>5699</v>
      </c>
      <c r="F19">
        <v>4.5599999999999996</v>
      </c>
      <c r="G19">
        <f t="shared" si="3"/>
        <v>1249.780701754386</v>
      </c>
    </row>
    <row r="20" spans="1:7" x14ac:dyDescent="0.2">
      <c r="A20" t="s">
        <v>27</v>
      </c>
      <c r="B20" t="s">
        <v>28</v>
      </c>
      <c r="C20">
        <v>4650</v>
      </c>
      <c r="D20">
        <v>4507</v>
      </c>
      <c r="E20">
        <f>C20+D20</f>
        <v>9157</v>
      </c>
      <c r="F20">
        <v>24.49</v>
      </c>
      <c r="G20">
        <f>E20/F20</f>
        <v>373.90771743568808</v>
      </c>
    </row>
    <row r="21" spans="1:7" x14ac:dyDescent="0.2">
      <c r="A21" t="s">
        <v>29</v>
      </c>
      <c r="B21" t="s">
        <v>13</v>
      </c>
      <c r="C21">
        <v>4075</v>
      </c>
      <c r="D21">
        <v>4006</v>
      </c>
      <c r="E21">
        <f t="shared" ref="E21:E27" si="4">C21+D21</f>
        <v>8081</v>
      </c>
      <c r="F21">
        <v>32</v>
      </c>
      <c r="G21">
        <f t="shared" ref="G21:G27" si="5">E21/F21</f>
        <v>252.53125</v>
      </c>
    </row>
    <row r="22" spans="1:7" x14ac:dyDescent="0.2">
      <c r="A22" t="s">
        <v>30</v>
      </c>
      <c r="B22" t="s">
        <v>13</v>
      </c>
      <c r="C22">
        <v>5642</v>
      </c>
      <c r="D22">
        <v>5495</v>
      </c>
      <c r="E22">
        <f t="shared" si="4"/>
        <v>11137</v>
      </c>
      <c r="F22">
        <v>29.2</v>
      </c>
      <c r="G22">
        <f t="shared" si="5"/>
        <v>381.40410958904113</v>
      </c>
    </row>
    <row r="23" spans="1:7" x14ac:dyDescent="0.2">
      <c r="A23" t="s">
        <v>31</v>
      </c>
      <c r="B23" t="s">
        <v>16</v>
      </c>
      <c r="C23">
        <v>1884</v>
      </c>
      <c r="D23">
        <v>1932</v>
      </c>
      <c r="E23">
        <f t="shared" si="4"/>
        <v>3816</v>
      </c>
      <c r="F23">
        <v>3.47</v>
      </c>
      <c r="G23">
        <f t="shared" si="5"/>
        <v>1099.7118155619596</v>
      </c>
    </row>
    <row r="24" spans="1:7" x14ac:dyDescent="0.2">
      <c r="A24" t="s">
        <v>32</v>
      </c>
      <c r="B24" t="s">
        <v>16</v>
      </c>
      <c r="C24">
        <v>1380</v>
      </c>
      <c r="D24">
        <v>1388</v>
      </c>
      <c r="E24">
        <f t="shared" si="4"/>
        <v>2768</v>
      </c>
      <c r="F24">
        <v>5.13</v>
      </c>
      <c r="G24">
        <f t="shared" si="5"/>
        <v>539.57115009746587</v>
      </c>
    </row>
    <row r="25" spans="1:7" x14ac:dyDescent="0.2">
      <c r="A25" t="s">
        <v>33</v>
      </c>
      <c r="B25" t="s">
        <v>16</v>
      </c>
      <c r="C25">
        <v>3678</v>
      </c>
      <c r="D25">
        <v>3621</v>
      </c>
      <c r="E25">
        <f t="shared" si="4"/>
        <v>7299</v>
      </c>
      <c r="F25">
        <v>8.8000000000000007</v>
      </c>
      <c r="G25">
        <f t="shared" si="5"/>
        <v>829.43181818181813</v>
      </c>
    </row>
    <row r="26" spans="1:7" x14ac:dyDescent="0.2">
      <c r="A26" t="s">
        <v>34</v>
      </c>
      <c r="B26" t="s">
        <v>16</v>
      </c>
      <c r="C26">
        <v>3372</v>
      </c>
      <c r="D26">
        <v>3176</v>
      </c>
      <c r="E26">
        <f t="shared" si="4"/>
        <v>6548</v>
      </c>
      <c r="F26">
        <v>38.6</v>
      </c>
      <c r="G26">
        <f t="shared" si="5"/>
        <v>169.63730569948186</v>
      </c>
    </row>
    <row r="27" spans="1:7" x14ac:dyDescent="0.2">
      <c r="A27" t="s">
        <v>35</v>
      </c>
      <c r="B27" t="s">
        <v>16</v>
      </c>
      <c r="C27">
        <v>2017</v>
      </c>
      <c r="D27">
        <v>2124</v>
      </c>
      <c r="E27">
        <f t="shared" si="4"/>
        <v>4141</v>
      </c>
      <c r="F27">
        <v>8.9</v>
      </c>
      <c r="G27">
        <f t="shared" si="5"/>
        <v>465.28089887640448</v>
      </c>
    </row>
    <row r="28" spans="1:7" x14ac:dyDescent="0.2">
      <c r="A28" t="s">
        <v>36</v>
      </c>
      <c r="B28" t="s">
        <v>19</v>
      </c>
      <c r="C28">
        <v>1589</v>
      </c>
      <c r="D28">
        <v>1678</v>
      </c>
      <c r="E28">
        <f t="shared" ref="E28:E34" si="6">C28+D28</f>
        <v>3267</v>
      </c>
      <c r="F28">
        <v>25</v>
      </c>
      <c r="G28">
        <f t="shared" ref="G28:G34" si="7">E28/F28</f>
        <v>130.68</v>
      </c>
    </row>
    <row r="29" spans="1:7" x14ac:dyDescent="0.2">
      <c r="A29" t="s">
        <v>37</v>
      </c>
      <c r="B29" t="s">
        <v>19</v>
      </c>
      <c r="C29">
        <v>1549</v>
      </c>
      <c r="D29">
        <v>1629</v>
      </c>
      <c r="E29">
        <f t="shared" si="6"/>
        <v>3178</v>
      </c>
      <c r="F29">
        <v>11.68</v>
      </c>
      <c r="G29">
        <f t="shared" si="7"/>
        <v>272.08904109589042</v>
      </c>
    </row>
    <row r="30" spans="1:7" x14ac:dyDescent="0.2">
      <c r="A30" t="s">
        <v>19</v>
      </c>
      <c r="B30" t="s">
        <v>19</v>
      </c>
      <c r="C30">
        <v>2160</v>
      </c>
      <c r="D30">
        <v>2317</v>
      </c>
      <c r="E30">
        <f t="shared" si="6"/>
        <v>4477</v>
      </c>
      <c r="F30">
        <v>37.159999999999997</v>
      </c>
      <c r="G30">
        <f t="shared" si="7"/>
        <v>120.4790096878364</v>
      </c>
    </row>
    <row r="31" spans="1:7" x14ac:dyDescent="0.2">
      <c r="A31" t="s">
        <v>38</v>
      </c>
      <c r="B31" t="s">
        <v>19</v>
      </c>
      <c r="C31">
        <v>1546</v>
      </c>
      <c r="D31">
        <v>1467</v>
      </c>
      <c r="E31">
        <f t="shared" si="6"/>
        <v>3013</v>
      </c>
      <c r="F31">
        <v>41.62</v>
      </c>
      <c r="G31">
        <f t="shared" si="7"/>
        <v>72.393080249879873</v>
      </c>
    </row>
    <row r="32" spans="1:7" x14ac:dyDescent="0.2">
      <c r="A32" t="s">
        <v>39</v>
      </c>
      <c r="B32" t="s">
        <v>28</v>
      </c>
      <c r="C32">
        <v>5375</v>
      </c>
      <c r="D32">
        <v>5161</v>
      </c>
      <c r="E32">
        <f t="shared" si="6"/>
        <v>10536</v>
      </c>
      <c r="F32">
        <v>39.700000000000003</v>
      </c>
      <c r="G32">
        <f t="shared" si="7"/>
        <v>265.39042821158688</v>
      </c>
    </row>
    <row r="33" spans="1:7" x14ac:dyDescent="0.2">
      <c r="A33" t="s">
        <v>40</v>
      </c>
      <c r="B33" t="s">
        <v>28</v>
      </c>
      <c r="C33">
        <v>8287</v>
      </c>
      <c r="D33">
        <v>8145</v>
      </c>
      <c r="E33">
        <f t="shared" si="6"/>
        <v>16432</v>
      </c>
      <c r="F33">
        <v>12.45</v>
      </c>
      <c r="G33">
        <f t="shared" si="7"/>
        <v>1319.839357429719</v>
      </c>
    </row>
    <row r="34" spans="1:7" x14ac:dyDescent="0.2">
      <c r="A34" t="s">
        <v>41</v>
      </c>
      <c r="B34" t="s">
        <v>28</v>
      </c>
      <c r="C34">
        <v>2226</v>
      </c>
      <c r="D34">
        <v>2166</v>
      </c>
      <c r="E34">
        <f t="shared" si="6"/>
        <v>4392</v>
      </c>
      <c r="F34">
        <v>6.78</v>
      </c>
      <c r="G34">
        <f t="shared" si="7"/>
        <v>647.78761061946898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2023-06-24T12:37:57Z</dcterms:created>
  <dcterms:modified xsi:type="dcterms:W3CDTF">2023-06-24T13:56:10Z</dcterms:modified>
</cp:coreProperties>
</file>