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/>
  <mc:AlternateContent xmlns:mc="http://schemas.openxmlformats.org/markup-compatibility/2006">
    <mc:Choice Requires="x15">
      <x15ac:absPath xmlns:x15ac="http://schemas.microsoft.com/office/spreadsheetml/2010/11/ac" url="/Users/indirapkinasih/R Project/Housing Data/data/processed/"/>
    </mc:Choice>
  </mc:AlternateContent>
  <bookViews>
    <workbookView xWindow="0" yWindow="460" windowWidth="13400" windowHeight="16440" tabRatio="500"/>
  </bookViews>
  <sheets>
    <sheet name="Sheet1" sheetId="1" r:id="rId1"/>
  </sheets>
  <definedNames>
    <definedName name="_xlnm._FilterDatabase" localSheetId="0" hidden="1">Sheet1!$B$1:$B$264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75" i="1" l="1"/>
  <c r="G175" i="1"/>
  <c r="E233" i="1"/>
  <c r="G233" i="1"/>
  <c r="E232" i="1"/>
  <c r="G232" i="1"/>
  <c r="E219" i="1"/>
  <c r="G219" i="1"/>
  <c r="E215" i="1"/>
  <c r="G215" i="1"/>
  <c r="E214" i="1"/>
  <c r="G214" i="1"/>
  <c r="E210" i="1"/>
  <c r="G210" i="1"/>
  <c r="E209" i="1"/>
  <c r="G209" i="1"/>
  <c r="E206" i="1"/>
  <c r="G206" i="1"/>
  <c r="E198" i="1"/>
  <c r="G198" i="1"/>
  <c r="E195" i="1"/>
  <c r="G195" i="1"/>
  <c r="E180" i="1"/>
  <c r="G180" i="1"/>
  <c r="E163" i="1"/>
  <c r="G163" i="1"/>
  <c r="E161" i="1"/>
  <c r="G161" i="1"/>
  <c r="E157" i="1"/>
  <c r="G157" i="1"/>
  <c r="E135" i="1"/>
  <c r="G135" i="1"/>
  <c r="E132" i="1"/>
  <c r="G132" i="1"/>
  <c r="E127" i="1"/>
  <c r="G127" i="1"/>
  <c r="E117" i="1"/>
  <c r="G117" i="1"/>
  <c r="E112" i="1"/>
  <c r="G112" i="1"/>
  <c r="E107" i="1"/>
  <c r="G107" i="1"/>
  <c r="E101" i="1"/>
  <c r="G101" i="1"/>
  <c r="E99" i="1"/>
  <c r="G99" i="1"/>
  <c r="E94" i="1"/>
  <c r="G94" i="1"/>
  <c r="E88" i="1"/>
  <c r="G88" i="1"/>
  <c r="E83" i="1"/>
  <c r="G83" i="1"/>
  <c r="E81" i="1"/>
  <c r="G81" i="1"/>
  <c r="E80" i="1"/>
  <c r="G80" i="1"/>
  <c r="E73" i="1"/>
  <c r="G73" i="1"/>
  <c r="E72" i="1"/>
  <c r="G72" i="1"/>
  <c r="E166" i="1"/>
  <c r="G166" i="1"/>
  <c r="E160" i="1"/>
  <c r="G160" i="1"/>
  <c r="E159" i="1"/>
  <c r="G159" i="1"/>
  <c r="E150" i="1"/>
  <c r="G150" i="1"/>
  <c r="E149" i="1"/>
  <c r="G149" i="1"/>
  <c r="E148" i="1"/>
  <c r="G148" i="1"/>
  <c r="E141" i="1"/>
  <c r="G141" i="1"/>
  <c r="E140" i="1"/>
  <c r="G140" i="1"/>
  <c r="E138" i="1"/>
  <c r="G138" i="1"/>
  <c r="E137" i="1"/>
  <c r="G137" i="1"/>
  <c r="E133" i="1"/>
  <c r="G133" i="1"/>
  <c r="E129" i="1"/>
  <c r="G129" i="1"/>
  <c r="E125" i="1"/>
  <c r="G125" i="1"/>
  <c r="E123" i="1"/>
  <c r="G123" i="1"/>
  <c r="E122" i="1"/>
  <c r="G122" i="1"/>
  <c r="E134" i="1"/>
  <c r="G134" i="1"/>
  <c r="E126" i="1"/>
  <c r="G126" i="1"/>
  <c r="E118" i="1"/>
  <c r="G118" i="1"/>
  <c r="E116" i="1"/>
  <c r="G116" i="1"/>
  <c r="E114" i="1"/>
  <c r="G114" i="1"/>
  <c r="E113" i="1"/>
  <c r="G113" i="1"/>
  <c r="E105" i="1"/>
  <c r="G105" i="1"/>
  <c r="E103" i="1"/>
  <c r="G103" i="1"/>
  <c r="E97" i="1"/>
  <c r="G97" i="1"/>
  <c r="E242" i="1"/>
  <c r="G242" i="1"/>
  <c r="E241" i="1"/>
  <c r="G241" i="1"/>
  <c r="E239" i="1"/>
  <c r="G239" i="1"/>
  <c r="E236" i="1"/>
  <c r="G236" i="1"/>
  <c r="E225" i="1"/>
  <c r="G225" i="1"/>
  <c r="E224" i="1"/>
  <c r="G224" i="1"/>
  <c r="E220" i="1"/>
  <c r="G220" i="1"/>
  <c r="E213" i="1"/>
  <c r="G213" i="1"/>
  <c r="E234" i="1"/>
  <c r="G234" i="1"/>
  <c r="E229" i="1"/>
  <c r="G229" i="1"/>
  <c r="E216" i="1"/>
  <c r="G216" i="1"/>
  <c r="E204" i="1"/>
  <c r="G204" i="1"/>
  <c r="E185" i="1"/>
  <c r="G185" i="1"/>
  <c r="E156" i="1"/>
  <c r="G156" i="1"/>
  <c r="E153" i="1"/>
  <c r="G153" i="1"/>
  <c r="E128" i="1"/>
  <c r="G128" i="1"/>
  <c r="E124" i="1"/>
  <c r="G124" i="1"/>
  <c r="E121" i="1"/>
  <c r="G121" i="1"/>
  <c r="E115" i="1"/>
  <c r="G115" i="1"/>
  <c r="E110" i="1"/>
  <c r="G110" i="1"/>
  <c r="E104" i="1"/>
  <c r="G104" i="1"/>
  <c r="E91" i="1"/>
  <c r="G91" i="1"/>
  <c r="E264" i="1"/>
  <c r="G264" i="1"/>
  <c r="E263" i="1"/>
  <c r="G263" i="1"/>
  <c r="E257" i="1"/>
  <c r="G257" i="1"/>
  <c r="E253" i="1"/>
  <c r="G253" i="1"/>
  <c r="E252" i="1"/>
  <c r="G252" i="1"/>
  <c r="E248" i="1"/>
  <c r="G248" i="1"/>
  <c r="E120" i="1"/>
  <c r="G120" i="1"/>
  <c r="E111" i="1"/>
  <c r="G111" i="1"/>
  <c r="E109" i="1"/>
  <c r="G109" i="1"/>
  <c r="E106" i="1"/>
  <c r="G106" i="1"/>
  <c r="E102" i="1"/>
  <c r="G102" i="1"/>
  <c r="E100" i="1"/>
  <c r="G100" i="1"/>
  <c r="E98" i="1"/>
  <c r="G98" i="1"/>
  <c r="E93" i="1"/>
  <c r="G93" i="1"/>
  <c r="E90" i="1"/>
  <c r="G90" i="1"/>
  <c r="E86" i="1"/>
  <c r="G86" i="1"/>
  <c r="E76" i="1"/>
  <c r="G76" i="1"/>
  <c r="E74" i="1"/>
  <c r="G74" i="1"/>
  <c r="E262" i="1"/>
  <c r="G262" i="1"/>
  <c r="E261" i="1"/>
  <c r="G261" i="1"/>
  <c r="E260" i="1"/>
  <c r="G260" i="1"/>
  <c r="E259" i="1"/>
  <c r="G259" i="1"/>
  <c r="E258" i="1"/>
  <c r="G258" i="1"/>
  <c r="E256" i="1"/>
  <c r="G256" i="1"/>
  <c r="E255" i="1"/>
  <c r="G255" i="1"/>
  <c r="E254" i="1"/>
  <c r="G254" i="1"/>
  <c r="E251" i="1"/>
  <c r="G251" i="1"/>
  <c r="E250" i="1"/>
  <c r="G250" i="1"/>
  <c r="E249" i="1"/>
  <c r="G249" i="1"/>
  <c r="E247" i="1"/>
  <c r="G247" i="1"/>
  <c r="E246" i="1"/>
  <c r="G246" i="1"/>
  <c r="E243" i="1"/>
  <c r="G243" i="1"/>
  <c r="E237" i="1"/>
  <c r="G237" i="1"/>
  <c r="E70" i="1"/>
  <c r="G70" i="1"/>
  <c r="E67" i="1"/>
  <c r="G67" i="1"/>
  <c r="E64" i="1"/>
  <c r="G64" i="1"/>
  <c r="E63" i="1"/>
  <c r="G63" i="1"/>
  <c r="E60" i="1"/>
  <c r="G60" i="1"/>
  <c r="E55" i="1"/>
  <c r="G55" i="1"/>
  <c r="E52" i="1"/>
  <c r="G52" i="1"/>
  <c r="E50" i="1"/>
  <c r="G50" i="1"/>
  <c r="E48" i="1"/>
  <c r="G48" i="1"/>
  <c r="E43" i="1"/>
  <c r="G43" i="1"/>
  <c r="E61" i="1"/>
  <c r="G61" i="1"/>
  <c r="E59" i="1"/>
  <c r="G59" i="1"/>
  <c r="E57" i="1"/>
  <c r="G57" i="1"/>
  <c r="E56" i="1"/>
  <c r="G56" i="1"/>
  <c r="E54" i="1"/>
  <c r="G54" i="1"/>
  <c r="E53" i="1"/>
  <c r="G53" i="1"/>
  <c r="E51" i="1"/>
  <c r="G51" i="1"/>
  <c r="E49" i="1"/>
  <c r="G49" i="1"/>
  <c r="E47" i="1"/>
  <c r="G47" i="1"/>
  <c r="E46" i="1"/>
  <c r="G46" i="1"/>
  <c r="E45" i="1"/>
  <c r="G45" i="1"/>
  <c r="E44" i="1"/>
  <c r="G44" i="1"/>
  <c r="E40" i="1"/>
  <c r="G40" i="1"/>
  <c r="E39" i="1"/>
  <c r="G39" i="1"/>
  <c r="E38" i="1"/>
  <c r="G38" i="1"/>
  <c r="E37" i="1"/>
  <c r="G37" i="1"/>
  <c r="E36" i="1"/>
  <c r="G36" i="1"/>
  <c r="E35" i="1"/>
  <c r="G35" i="1"/>
  <c r="E96" i="1"/>
  <c r="G96" i="1"/>
  <c r="E95" i="1"/>
  <c r="G95" i="1"/>
  <c r="E89" i="1"/>
  <c r="G89" i="1"/>
  <c r="E85" i="1"/>
  <c r="G85" i="1"/>
  <c r="E84" i="1"/>
  <c r="G84" i="1"/>
  <c r="E82" i="1"/>
  <c r="G82" i="1"/>
  <c r="E77" i="1"/>
  <c r="G77" i="1"/>
  <c r="E75" i="1"/>
  <c r="G75" i="1"/>
  <c r="E71" i="1"/>
  <c r="G71" i="1"/>
  <c r="E69" i="1"/>
  <c r="G69" i="1"/>
  <c r="E68" i="1"/>
  <c r="G68" i="1"/>
  <c r="E65" i="1"/>
  <c r="G65" i="1"/>
  <c r="E238" i="1"/>
  <c r="G238" i="1"/>
  <c r="E235" i="1"/>
  <c r="G235" i="1"/>
  <c r="E223" i="1"/>
  <c r="G223" i="1"/>
  <c r="E217" i="1"/>
  <c r="G217" i="1"/>
  <c r="E193" i="1"/>
  <c r="G193" i="1"/>
  <c r="E192" i="1"/>
  <c r="G192" i="1"/>
  <c r="E183" i="1"/>
  <c r="G183" i="1"/>
  <c r="E178" i="1"/>
  <c r="G178" i="1"/>
  <c r="E167" i="1"/>
  <c r="G167" i="1"/>
  <c r="E152" i="1"/>
  <c r="G152" i="1"/>
  <c r="E245" i="1"/>
  <c r="G245" i="1"/>
  <c r="E231" i="1"/>
  <c r="G231" i="1"/>
  <c r="E228" i="1"/>
  <c r="G228" i="1"/>
  <c r="E221" i="1"/>
  <c r="G221" i="1"/>
  <c r="E205" i="1"/>
  <c r="G205" i="1"/>
  <c r="E203" i="1"/>
  <c r="G203" i="1"/>
  <c r="E200" i="1"/>
  <c r="G200" i="1"/>
  <c r="E190" i="1"/>
  <c r="G190" i="1"/>
  <c r="E189" i="1"/>
  <c r="G189" i="1"/>
  <c r="E186" i="1"/>
  <c r="G186" i="1"/>
  <c r="E182" i="1"/>
  <c r="G182" i="1"/>
  <c r="E181" i="1"/>
  <c r="G181" i="1"/>
  <c r="E173" i="1"/>
  <c r="G173" i="1"/>
  <c r="E172" i="1"/>
  <c r="G172" i="1"/>
  <c r="E162" i="1"/>
  <c r="G162" i="1"/>
  <c r="E230" i="1"/>
  <c r="G230" i="1"/>
  <c r="E226" i="1"/>
  <c r="G226" i="1"/>
  <c r="E222" i="1"/>
  <c r="G222" i="1"/>
  <c r="E208" i="1"/>
  <c r="G208" i="1"/>
  <c r="E191" i="1"/>
  <c r="G191" i="1"/>
  <c r="E171" i="1"/>
  <c r="G171" i="1"/>
  <c r="E170" i="1"/>
  <c r="G170" i="1"/>
  <c r="E151" i="1"/>
  <c r="G151" i="1"/>
  <c r="E207" i="1"/>
  <c r="G207" i="1"/>
  <c r="E177" i="1"/>
  <c r="G177" i="1"/>
  <c r="E168" i="1"/>
  <c r="G168" i="1"/>
  <c r="E147" i="1"/>
  <c r="G147" i="1"/>
  <c r="E146" i="1"/>
  <c r="G146" i="1"/>
  <c r="E144" i="1"/>
  <c r="G144" i="1"/>
  <c r="E142" i="1"/>
  <c r="G142" i="1"/>
  <c r="E136" i="1"/>
  <c r="G136" i="1"/>
  <c r="E131" i="1"/>
  <c r="G131" i="1"/>
  <c r="E130" i="1"/>
  <c r="G130" i="1"/>
  <c r="E155" i="1"/>
  <c r="G155" i="1"/>
  <c r="E143" i="1"/>
  <c r="G143" i="1"/>
  <c r="E139" i="1"/>
  <c r="G139" i="1"/>
  <c r="E119" i="1"/>
  <c r="G119" i="1"/>
  <c r="E108" i="1"/>
  <c r="G108" i="1"/>
  <c r="E92" i="1"/>
  <c r="G92" i="1"/>
  <c r="E87" i="1"/>
  <c r="G87" i="1"/>
  <c r="E79" i="1"/>
  <c r="G79" i="1"/>
  <c r="E78" i="1"/>
  <c r="G78" i="1"/>
  <c r="E66" i="1"/>
  <c r="G66" i="1"/>
  <c r="E62" i="1"/>
  <c r="G62" i="1"/>
  <c r="E58" i="1"/>
  <c r="G58" i="1"/>
  <c r="E42" i="1"/>
  <c r="G42" i="1"/>
  <c r="E41" i="1"/>
  <c r="G41" i="1"/>
  <c r="E34" i="1"/>
  <c r="G34" i="1"/>
  <c r="E33" i="1"/>
  <c r="G33" i="1"/>
  <c r="E32" i="1"/>
  <c r="G32" i="1"/>
  <c r="E31" i="1"/>
  <c r="G31" i="1"/>
  <c r="E30" i="1"/>
  <c r="G30" i="1"/>
  <c r="E29" i="1"/>
  <c r="G29" i="1"/>
  <c r="E28" i="1"/>
  <c r="G28" i="1"/>
  <c r="E26" i="1"/>
  <c r="G26" i="1"/>
  <c r="E25" i="1"/>
  <c r="G25" i="1"/>
  <c r="E24" i="1"/>
  <c r="G24" i="1"/>
  <c r="E22" i="1"/>
  <c r="G22" i="1"/>
  <c r="E21" i="1"/>
  <c r="G21" i="1"/>
  <c r="E16" i="1"/>
  <c r="G16" i="1"/>
  <c r="E13" i="1"/>
  <c r="G13" i="1"/>
  <c r="E10" i="1"/>
  <c r="G10" i="1"/>
  <c r="E27" i="1"/>
  <c r="G27" i="1"/>
  <c r="E23" i="1"/>
  <c r="G23" i="1"/>
  <c r="E20" i="1"/>
  <c r="G20" i="1"/>
  <c r="E19" i="1"/>
  <c r="G19" i="1"/>
  <c r="E18" i="1"/>
  <c r="G18" i="1"/>
  <c r="E17" i="1"/>
  <c r="G17" i="1"/>
  <c r="E15" i="1"/>
  <c r="G15" i="1"/>
  <c r="E14" i="1"/>
  <c r="G14" i="1"/>
  <c r="E12" i="1"/>
  <c r="G12" i="1"/>
  <c r="E11" i="1"/>
  <c r="G11" i="1"/>
  <c r="E9" i="1"/>
  <c r="G9" i="1"/>
  <c r="E8" i="1"/>
  <c r="G8" i="1"/>
  <c r="E7" i="1"/>
  <c r="G7" i="1"/>
  <c r="E6" i="1"/>
  <c r="G6" i="1"/>
  <c r="E5" i="1"/>
  <c r="G5" i="1"/>
  <c r="E4" i="1"/>
  <c r="G4" i="1"/>
  <c r="E3" i="1"/>
  <c r="G3" i="1"/>
  <c r="E2" i="1"/>
  <c r="G2" i="1"/>
  <c r="E244" i="1"/>
  <c r="E240" i="1"/>
  <c r="E227" i="1"/>
  <c r="E218" i="1"/>
  <c r="E212" i="1"/>
  <c r="E211" i="1"/>
  <c r="E202" i="1"/>
  <c r="E201" i="1"/>
  <c r="E199" i="1"/>
  <c r="E197" i="1"/>
  <c r="E196" i="1"/>
  <c r="E194" i="1"/>
  <c r="E188" i="1"/>
  <c r="E187" i="1"/>
  <c r="E184" i="1"/>
  <c r="E179" i="1"/>
  <c r="E176" i="1"/>
  <c r="E174" i="1"/>
  <c r="E169" i="1"/>
  <c r="E165" i="1"/>
  <c r="E164" i="1"/>
  <c r="E158" i="1"/>
  <c r="E154" i="1"/>
  <c r="G244" i="1"/>
  <c r="G240" i="1"/>
  <c r="G227" i="1"/>
  <c r="G218" i="1"/>
  <c r="G212" i="1"/>
  <c r="G211" i="1"/>
  <c r="G202" i="1"/>
  <c r="G201" i="1"/>
  <c r="G199" i="1"/>
  <c r="G197" i="1"/>
  <c r="G196" i="1"/>
  <c r="G194" i="1"/>
  <c r="G188" i="1"/>
  <c r="G187" i="1"/>
  <c r="G184" i="1"/>
  <c r="G179" i="1"/>
  <c r="G176" i="1"/>
  <c r="G174" i="1"/>
  <c r="G169" i="1"/>
  <c r="G165" i="1"/>
  <c r="G164" i="1"/>
  <c r="G158" i="1"/>
  <c r="G154" i="1"/>
  <c r="E145" i="1"/>
  <c r="G145" i="1"/>
</calcChain>
</file>

<file path=xl/sharedStrings.xml><?xml version="1.0" encoding="utf-8"?>
<sst xmlns="http://schemas.openxmlformats.org/spreadsheetml/2006/main" count="533" uniqueCount="281">
  <si>
    <t>Desa Ekas Buana</t>
  </si>
  <si>
    <t>Kecamatan Jerowaru</t>
  </si>
  <si>
    <t>Desa Kwang Rundung</t>
  </si>
  <si>
    <t>Desa Seriwe</t>
  </si>
  <si>
    <t>Desa Sekaroh</t>
  </si>
  <si>
    <t>Desa Batu Nampar Selatan</t>
  </si>
  <si>
    <t>Desa Pulau Maringgkik</t>
  </si>
  <si>
    <t>Kecamatan Keruak</t>
  </si>
  <si>
    <t>Desa Pene</t>
  </si>
  <si>
    <t>Desa Pemongkong</t>
  </si>
  <si>
    <t>Desa Paremas</t>
  </si>
  <si>
    <t>Desa Batu Nampar</t>
  </si>
  <si>
    <t>Desa Sukadamai</t>
  </si>
  <si>
    <t>Desa Wakan</t>
  </si>
  <si>
    <t>Desa Jerowaru</t>
  </si>
  <si>
    <t>Desa Pandan Wangi</t>
  </si>
  <si>
    <t>Desa Ketapang Raya</t>
  </si>
  <si>
    <t>Desa Dane Rase</t>
  </si>
  <si>
    <t>Desa Sepapan</t>
  </si>
  <si>
    <t>Desa Tanjung Luar</t>
  </si>
  <si>
    <t>Desa Montong Belae</t>
  </si>
  <si>
    <t>Desa Keruak</t>
  </si>
  <si>
    <t>Desa Sukaraja</t>
  </si>
  <si>
    <t>Desa Pijjot</t>
  </si>
  <si>
    <t>Desa Senyiur</t>
  </si>
  <si>
    <t>Desa Selebung Ketangga</t>
  </si>
  <si>
    <t>Desa Ketangga Jeraeng</t>
  </si>
  <si>
    <t>Desa Batu Putik</t>
  </si>
  <si>
    <t>Desa Mendana Raya</t>
  </si>
  <si>
    <t>Desa Pijot Utara</t>
  </si>
  <si>
    <t>Desa Kembang Are Sampai</t>
  </si>
  <si>
    <t>Kecamatan Sakra Barat</t>
  </si>
  <si>
    <t>Desa Boyemare</t>
  </si>
  <si>
    <t>Desa Pematung</t>
  </si>
  <si>
    <t>Desa Gadung Mas</t>
  </si>
  <si>
    <t>Desa Jerogunung</t>
  </si>
  <si>
    <t>Desa Gerisak Semanggeleng</t>
  </si>
  <si>
    <t>Desa Sepit</t>
  </si>
  <si>
    <t>Desa Setungkep Lingsar</t>
  </si>
  <si>
    <t>Desa Menceh</t>
  </si>
  <si>
    <t>Kecamatan Sakra Timur</t>
  </si>
  <si>
    <t>Desa Bungtiang</t>
  </si>
  <si>
    <t>Desa Rensing</t>
  </si>
  <si>
    <t>Desa Pengkelak Mas</t>
  </si>
  <si>
    <t>Desa Rensing Raya</t>
  </si>
  <si>
    <t>Desa Surabaya</t>
  </si>
  <si>
    <t>Desa Rensing Bat</t>
  </si>
  <si>
    <t>Desa Surabaya Utara</t>
  </si>
  <si>
    <t>Desa Montong Beter</t>
  </si>
  <si>
    <t>Desa Gelanggang</t>
  </si>
  <si>
    <t>Desa Gunung Rajak</t>
  </si>
  <si>
    <t>Desa Borok Toyang</t>
  </si>
  <si>
    <t>Desa Lepak Timur</t>
  </si>
  <si>
    <t>Desa Pejaring</t>
  </si>
  <si>
    <t>Desa Mengkuru</t>
  </si>
  <si>
    <t>Desa Kertasari</t>
  </si>
  <si>
    <t>Kecamatan Labuhan Haji</t>
  </si>
  <si>
    <t>Desa Tanak Kaken</t>
  </si>
  <si>
    <t>Desa Lepak</t>
  </si>
  <si>
    <t>Desa Sukarara</t>
  </si>
  <si>
    <t>Desa Peneda Gandor</t>
  </si>
  <si>
    <t>Desa Gereneng Timur</t>
  </si>
  <si>
    <t>Desa Gereneng</t>
  </si>
  <si>
    <t>Desa Sakra Selatan</t>
  </si>
  <si>
    <t>Kecamatan Sakra</t>
  </si>
  <si>
    <t>Desa Labuhan Haji</t>
  </si>
  <si>
    <t>Desa Montong Tangi</t>
  </si>
  <si>
    <t>Desa Suwangi</t>
  </si>
  <si>
    <t>Desa Kuang Baru</t>
  </si>
  <si>
    <t>Desa Lenting</t>
  </si>
  <si>
    <t>Desa Suwangi Timur</t>
  </si>
  <si>
    <t>Desa Embung Raja</t>
  </si>
  <si>
    <t>Kecamatan Terara</t>
  </si>
  <si>
    <t>Desa Rarang Batas</t>
  </si>
  <si>
    <t>Desa Danggen Timur</t>
  </si>
  <si>
    <t>Kecamatan Selong</t>
  </si>
  <si>
    <t>Desa Moyot</t>
  </si>
  <si>
    <t>Kelurahan Kelayu Jorong</t>
  </si>
  <si>
    <t>Desa Sakra</t>
  </si>
  <si>
    <t>Desa Banjarsari</t>
  </si>
  <si>
    <t>Desa Teros</t>
  </si>
  <si>
    <t>Desa Embung Kandong</t>
  </si>
  <si>
    <t>Desa Rarang Selatan</t>
  </si>
  <si>
    <t>Desa Rumbuk Timur</t>
  </si>
  <si>
    <t>Desa Leming</t>
  </si>
  <si>
    <t>Desa Peresak</t>
  </si>
  <si>
    <t>Desa Rumbuk</t>
  </si>
  <si>
    <t>Kelurahan Denggen</t>
  </si>
  <si>
    <t>Kelurahan Suryawangi</t>
  </si>
  <si>
    <t>Desa Santong</t>
  </si>
  <si>
    <t>Desa Kabar</t>
  </si>
  <si>
    <t>Kelurahan Kembang Sari</t>
  </si>
  <si>
    <t>Desa Darmasari</t>
  </si>
  <si>
    <t>Kecamatan Sikur</t>
  </si>
  <si>
    <t>Kelurahan Tanjung</t>
  </si>
  <si>
    <t>Kelurahan Kelayu Selatan</t>
  </si>
  <si>
    <t>Desa Pandan Duri</t>
  </si>
  <si>
    <t>Desa Keselet</t>
  </si>
  <si>
    <t>Desa Songak</t>
  </si>
  <si>
    <t>Desa Setanggor Selatan</t>
  </si>
  <si>
    <t>Kecamatan Sukamulia</t>
  </si>
  <si>
    <t>Kelurahan Selong</t>
  </si>
  <si>
    <t>Desa Selagik</t>
  </si>
  <si>
    <t>Kelurahan Rakam</t>
  </si>
  <si>
    <t>Desa Rarang Tengah</t>
  </si>
  <si>
    <t>Kelurahan Majidi</t>
  </si>
  <si>
    <t>Desa Jantuk</t>
  </si>
  <si>
    <t>Desa Semaya</t>
  </si>
  <si>
    <t>Desa Setanggor</t>
  </si>
  <si>
    <t>Kelurahan Kelayu Utara</t>
  </si>
  <si>
    <t>Desa Suradadi</t>
  </si>
  <si>
    <t>Kelurahan Geres</t>
  </si>
  <si>
    <t>Kelurahan Pancor</t>
  </si>
  <si>
    <t>Desa Sikur Selatan</t>
  </si>
  <si>
    <t>Kelurahan Sandu Baya</t>
  </si>
  <si>
    <t>Desa Terara</t>
  </si>
  <si>
    <t>Desa Dasan Lekong</t>
  </si>
  <si>
    <t>Desa Padamara</t>
  </si>
  <si>
    <t>Desa Montong Baan Selatan</t>
  </si>
  <si>
    <t>Desa Paok Pampang</t>
  </si>
  <si>
    <t>Desa Kalianyar</t>
  </si>
  <si>
    <t>Desa Nyiur Tebel</t>
  </si>
  <si>
    <t>Kelurahan Ijobalit</t>
  </si>
  <si>
    <t>Kelurahan Sekarteja</t>
  </si>
  <si>
    <t>Desa Sikur</t>
  </si>
  <si>
    <t>Desa Waringin</t>
  </si>
  <si>
    <t>Kecamatan Suralaga</t>
  </si>
  <si>
    <t>Desa Bagik Payung Timur</t>
  </si>
  <si>
    <t>Desa Sikur Barat</t>
  </si>
  <si>
    <t>Desa Dames Damai</t>
  </si>
  <si>
    <t>Desa Sukamulia</t>
  </si>
  <si>
    <t>Desa Jenggik</t>
  </si>
  <si>
    <t>Desa Montong Baan</t>
  </si>
  <si>
    <t>Desa Kerongkong</t>
  </si>
  <si>
    <t>Desa Paokmotong</t>
  </si>
  <si>
    <t>Kecamatan Masbagik</t>
  </si>
  <si>
    <t>Desa Masbagik Selatan</t>
  </si>
  <si>
    <t>Desa Sukadana</t>
  </si>
  <si>
    <t>Desa Bagik Payung Selatan</t>
  </si>
  <si>
    <t>Desa Sukamulia Timur</t>
  </si>
  <si>
    <t>Desa Rarang</t>
  </si>
  <si>
    <t>Desa Masbagik Utara</t>
  </si>
  <si>
    <t>Desa Tebaban</t>
  </si>
  <si>
    <t>Desa Gerung Permai</t>
  </si>
  <si>
    <t>Desa Korleko Selatan</t>
  </si>
  <si>
    <t>Desa Dasan Borok</t>
  </si>
  <si>
    <t>Desa Bagik Payung</t>
  </si>
  <si>
    <t>Desa Kesik</t>
  </si>
  <si>
    <t>Desa Korleko</t>
  </si>
  <si>
    <t>Desa Danger</t>
  </si>
  <si>
    <t>Desa Lenek Baru</t>
  </si>
  <si>
    <t>Kecamatan Aikmel</t>
  </si>
  <si>
    <t>Desa Masbagik Timur</t>
  </si>
  <si>
    <t>Desa Masbagik Utara Baru</t>
  </si>
  <si>
    <t>Desa Tumbuh Mulia</t>
  </si>
  <si>
    <t>Desa Bintang Rinjani</t>
  </si>
  <si>
    <t>Desa Paok Lombok</t>
  </si>
  <si>
    <t>Desa Kilang</t>
  </si>
  <si>
    <t>Kecamatan Montong Gading</t>
  </si>
  <si>
    <t>Desa Rempung</t>
  </si>
  <si>
    <t>Kecamatan Pringgasela</t>
  </si>
  <si>
    <t>Desa Loyok</t>
  </si>
  <si>
    <t>Desa Kalijaga Baru</t>
  </si>
  <si>
    <t>Desa Tirtanadi</t>
  </si>
  <si>
    <t>Desa Gelora</t>
  </si>
  <si>
    <t>Desa Lando</t>
  </si>
  <si>
    <t>Desa Sukarema</t>
  </si>
  <si>
    <t>Desa Suralaga</t>
  </si>
  <si>
    <t>Desa Anjani</t>
  </si>
  <si>
    <t>Desa Mamben Baru</t>
  </si>
  <si>
    <t>Kecamatan Wanasaba</t>
  </si>
  <si>
    <t>Desa Anggaraksa</t>
  </si>
  <si>
    <t>Kecamatan Pringgabaya</t>
  </si>
  <si>
    <t>Desa Bandok</t>
  </si>
  <si>
    <t>Desa Lenek Lauk</t>
  </si>
  <si>
    <t>Desa Kalijaga Selatan</t>
  </si>
  <si>
    <t>Desa Gapuk</t>
  </si>
  <si>
    <t>Desa Pringgasela Selatan</t>
  </si>
  <si>
    <t>Desa Kumbang</t>
  </si>
  <si>
    <t>Desa Kalijaga Tengah</t>
  </si>
  <si>
    <t>Desa Montong Betok</t>
  </si>
  <si>
    <t>Desa Lendang Belo</t>
  </si>
  <si>
    <t>Desa Teko</t>
  </si>
  <si>
    <t>Desa Tanak Gadang</t>
  </si>
  <si>
    <t>Desa Lenek Pasiraman</t>
  </si>
  <si>
    <t>Desa Tembeng Putik</t>
  </si>
  <si>
    <t>Desa Kalijaga Timur</t>
  </si>
  <si>
    <t>Desa Lendang Nangka</t>
  </si>
  <si>
    <t>Desa Aik Dewa</t>
  </si>
  <si>
    <t>Desa Kalijaga</t>
  </si>
  <si>
    <t>Desa Mamben Lauk</t>
  </si>
  <si>
    <t>Desa Pohgading Timur</t>
  </si>
  <si>
    <t>Desa Kerumut</t>
  </si>
  <si>
    <t>Desa Pringgasela Timur</t>
  </si>
  <si>
    <t>Desa Lenek Kali Bambang</t>
  </si>
  <si>
    <t>Desa Kotaraja</t>
  </si>
  <si>
    <t>Desa Telaga Waru</t>
  </si>
  <si>
    <t>Desa Lenek</t>
  </si>
  <si>
    <t>Desa Bagik Nyaka Santri</t>
  </si>
  <si>
    <t>Desa Apit Aik</t>
  </si>
  <si>
    <t>Desa Pohgading</t>
  </si>
  <si>
    <t>Desa Pringgajurang</t>
  </si>
  <si>
    <t>Desa Jurit</t>
  </si>
  <si>
    <t>Desa Pringgasela</t>
  </si>
  <si>
    <t>Desa Aikmel Barat</t>
  </si>
  <si>
    <t>Desa Mamben Daya</t>
  </si>
  <si>
    <t>Desa Lenek Ramban Biak</t>
  </si>
  <si>
    <t>Desa Keroya</t>
  </si>
  <si>
    <t>Desa Wanasaba</t>
  </si>
  <si>
    <t>Desa Aikmel</t>
  </si>
  <si>
    <t>Desa Batuyang</t>
  </si>
  <si>
    <t>Desa Aikmel Timur</t>
  </si>
  <si>
    <t>Desa Kembang Kerang</t>
  </si>
  <si>
    <t>Desa Bagik Papan</t>
  </si>
  <si>
    <t>Desa Kembang Kuning</t>
  </si>
  <si>
    <t>Desa Pringgabaya</t>
  </si>
  <si>
    <t>Desa Wanasaba Daya</t>
  </si>
  <si>
    <t>Desa Lendang Nangka Utara</t>
  </si>
  <si>
    <t>Desa Jenggik Utara</t>
  </si>
  <si>
    <t>Desa Wanasaba Lauk</t>
  </si>
  <si>
    <t>Desa Karang Baru Timur</t>
  </si>
  <si>
    <t>Desa Aikmel Utara</t>
  </si>
  <si>
    <t>Desa Lenek Daya</t>
  </si>
  <si>
    <t>Desa Ketangga</t>
  </si>
  <si>
    <t>Kecamatan Suela</t>
  </si>
  <si>
    <t>Desa Karang Baru</t>
  </si>
  <si>
    <t>Desa Otak Rarangan</t>
  </si>
  <si>
    <t>Desa Tetebatu Selatan</t>
  </si>
  <si>
    <t>Desa Pengadangan Barat</t>
  </si>
  <si>
    <t>Desa Kembang Kerang Daya</t>
  </si>
  <si>
    <t>Desa Jineng</t>
  </si>
  <si>
    <t>Desa Selaparang</t>
  </si>
  <si>
    <t>Desa Pringgabaya Utara</t>
  </si>
  <si>
    <t>Desa Pesanggrahan</t>
  </si>
  <si>
    <t>Desa Timbanuh</t>
  </si>
  <si>
    <t>Desa Suela</t>
  </si>
  <si>
    <t>Desa Suntalangu</t>
  </si>
  <si>
    <t>Desa Perian</t>
  </si>
  <si>
    <t>Desa Aik Prapa</t>
  </si>
  <si>
    <t>Desa Labuhan Lombok</t>
  </si>
  <si>
    <t>Desa Jeruk Manis</t>
  </si>
  <si>
    <t>Desa Pringgajurang Utara</t>
  </si>
  <si>
    <t>Desa Seruni Mumbul</t>
  </si>
  <si>
    <t>Desa Beriri Jarak</t>
  </si>
  <si>
    <t>Desa Bebidas</t>
  </si>
  <si>
    <t>Desa Tetebatu</t>
  </si>
  <si>
    <t>Desa Jurit Baru</t>
  </si>
  <si>
    <t>Desa Puncak Jeringo</t>
  </si>
  <si>
    <t>Desa Sambelia</t>
  </si>
  <si>
    <t>Kecamatan Sambelia</t>
  </si>
  <si>
    <t>Desa Pengadangan</t>
  </si>
  <si>
    <t>Desa Perigi</t>
  </si>
  <si>
    <t>Desa Lenek Duren</t>
  </si>
  <si>
    <t>Desa Mekarsari</t>
  </si>
  <si>
    <t>Desa Sapit</t>
  </si>
  <si>
    <t>Desa Toya</t>
  </si>
  <si>
    <t>Desa Gunung Malang</t>
  </si>
  <si>
    <t>Desa Padak Guar</t>
  </si>
  <si>
    <t>Desa Senanggalih</t>
  </si>
  <si>
    <t>Desa Sembalun Bumbung</t>
  </si>
  <si>
    <t>Kecamatan Sembalun</t>
  </si>
  <si>
    <t>Desa Labuhan Pandan</t>
  </si>
  <si>
    <t>Desa Bagik Manis</t>
  </si>
  <si>
    <t>Desa Sembalun Timba Gading</t>
  </si>
  <si>
    <t>Desa Sembalun Lawang</t>
  </si>
  <si>
    <t>Desa Dadap</t>
  </si>
  <si>
    <t>Desa Sugian</t>
  </si>
  <si>
    <t>Desa Sajang</t>
  </si>
  <si>
    <t>Desa Darakunci</t>
  </si>
  <si>
    <t>Desa Belanting</t>
  </si>
  <si>
    <t>Desa Obel-obel</t>
  </si>
  <si>
    <t>Desa Madayin</t>
  </si>
  <si>
    <t>Desa Bilok Petung</t>
  </si>
  <si>
    <t>Desa Sembalun</t>
  </si>
  <si>
    <t>NAMOBJ</t>
  </si>
  <si>
    <t>WADMKC</t>
  </si>
  <si>
    <t>male</t>
  </si>
  <si>
    <t>female</t>
  </si>
  <si>
    <t>Total</t>
  </si>
  <si>
    <t>area (km2)</t>
  </si>
  <si>
    <t>pop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</si>
</sst>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G264"/>
  <sheetViews>
    <sheetView tabSelected="1" workbookViewId="0">
      <selection activeCell="B199" sqref="B199"/>
    </sheetView>
  </sheetViews>
  <sheetFormatPr baseColWidth="10" defaultRowHeight="16" x14ac:dyDescent="0.2"/>
  <cols>
    <col min="1" max="1" width="24" customWidth="1"/>
    <col min="2" max="2" width="22.83203125" customWidth="1"/>
    <col min="6" max="7" width="10.83203125" style="1"/>
  </cols>
  <sheetData>
    <row r="1" spans="1:7" x14ac:dyDescent="0.2">
      <c r="A1" t="s">
        <v>274</v>
      </c>
      <c r="B1" t="s">
        <v>275</v>
      </c>
      <c r="C1" t="s">
        <v>276</v>
      </c>
      <c r="D1" t="s">
        <v>277</v>
      </c>
      <c r="E1" t="s">
        <v>278</v>
      </c>
      <c r="F1" s="1" t="s">
        <v>279</v>
      </c>
      <c r="G1" s="1" t="s">
        <v>280</v>
      </c>
    </row>
    <row r="2" spans="1:7" hidden="1" x14ac:dyDescent="0.2">
      <c r="A2" t="s">
        <v>0</v>
      </c>
      <c r="B2" t="s">
        <v>1</v>
      </c>
      <c r="C2">
        <v>1273</v>
      </c>
      <c r="D2">
        <v>1323</v>
      </c>
      <c r="E2">
        <f>C2+D2</f>
        <v>2596</v>
      </c>
      <c r="F2" s="1">
        <v>7.14</v>
      </c>
      <c r="G2" s="1">
        <f>E2/F2</f>
        <v>363.58543417366951</v>
      </c>
    </row>
    <row r="3" spans="1:7" hidden="1" x14ac:dyDescent="0.2">
      <c r="A3" t="s">
        <v>2</v>
      </c>
      <c r="B3" t="s">
        <v>1</v>
      </c>
      <c r="C3">
        <v>628</v>
      </c>
      <c r="D3">
        <v>648</v>
      </c>
      <c r="E3">
        <f t="shared" ref="E3:E10" si="0">C3+D3</f>
        <v>1276</v>
      </c>
      <c r="F3" s="1">
        <v>4.9800000000000004</v>
      </c>
      <c r="G3" s="1">
        <f t="shared" ref="G3:G10" si="1">E3/F3</f>
        <v>256.22489959839356</v>
      </c>
    </row>
    <row r="4" spans="1:7" hidden="1" x14ac:dyDescent="0.2">
      <c r="A4" t="s">
        <v>3</v>
      </c>
      <c r="B4" t="s">
        <v>1</v>
      </c>
      <c r="C4">
        <v>1722</v>
      </c>
      <c r="D4">
        <v>1637</v>
      </c>
      <c r="E4">
        <f t="shared" si="0"/>
        <v>3359</v>
      </c>
      <c r="F4" s="1">
        <v>14.67</v>
      </c>
      <c r="G4" s="1">
        <f t="shared" si="1"/>
        <v>228.97068847989092</v>
      </c>
    </row>
    <row r="5" spans="1:7" hidden="1" x14ac:dyDescent="0.2">
      <c r="A5" t="s">
        <v>0</v>
      </c>
      <c r="B5" t="s">
        <v>1</v>
      </c>
      <c r="C5">
        <v>1273</v>
      </c>
      <c r="D5">
        <v>1323</v>
      </c>
      <c r="E5">
        <f t="shared" si="0"/>
        <v>2596</v>
      </c>
      <c r="F5" s="1">
        <v>7.14</v>
      </c>
      <c r="G5" s="1">
        <f t="shared" si="1"/>
        <v>363.58543417366951</v>
      </c>
    </row>
    <row r="6" spans="1:7" hidden="1" x14ac:dyDescent="0.2">
      <c r="A6" t="s">
        <v>4</v>
      </c>
      <c r="B6" t="s">
        <v>1</v>
      </c>
      <c r="C6">
        <v>2218</v>
      </c>
      <c r="D6">
        <v>2239</v>
      </c>
      <c r="E6">
        <f t="shared" si="0"/>
        <v>4457</v>
      </c>
      <c r="F6" s="1">
        <v>41.67</v>
      </c>
      <c r="G6" s="1">
        <f t="shared" si="1"/>
        <v>106.95944324454044</v>
      </c>
    </row>
    <row r="7" spans="1:7" hidden="1" x14ac:dyDescent="0.2">
      <c r="A7" t="s">
        <v>4</v>
      </c>
      <c r="B7" t="s">
        <v>1</v>
      </c>
      <c r="C7">
        <v>2218</v>
      </c>
      <c r="D7">
        <v>2239</v>
      </c>
      <c r="E7">
        <f t="shared" si="0"/>
        <v>4457</v>
      </c>
      <c r="F7" s="1">
        <v>41.67</v>
      </c>
      <c r="G7" s="1">
        <f t="shared" si="1"/>
        <v>106.95944324454044</v>
      </c>
    </row>
    <row r="8" spans="1:7" hidden="1" x14ac:dyDescent="0.2">
      <c r="A8" t="s">
        <v>5</v>
      </c>
      <c r="B8" t="s">
        <v>1</v>
      </c>
      <c r="C8">
        <v>944</v>
      </c>
      <c r="D8">
        <v>920</v>
      </c>
      <c r="E8">
        <f t="shared" si="0"/>
        <v>1864</v>
      </c>
      <c r="F8" s="1">
        <v>2.99</v>
      </c>
      <c r="G8" s="1">
        <f t="shared" si="1"/>
        <v>623.41137123745818</v>
      </c>
    </row>
    <row r="9" spans="1:7" hidden="1" x14ac:dyDescent="0.2">
      <c r="A9" t="s">
        <v>4</v>
      </c>
      <c r="B9" t="s">
        <v>1</v>
      </c>
      <c r="C9">
        <v>2218</v>
      </c>
      <c r="D9">
        <v>2239</v>
      </c>
      <c r="E9">
        <f t="shared" si="0"/>
        <v>4457</v>
      </c>
      <c r="F9" s="1">
        <v>41.67</v>
      </c>
      <c r="G9" s="1">
        <f t="shared" si="1"/>
        <v>106.95944324454044</v>
      </c>
    </row>
    <row r="10" spans="1:7" hidden="1" x14ac:dyDescent="0.2">
      <c r="A10" t="s">
        <v>6</v>
      </c>
      <c r="B10" t="s">
        <v>7</v>
      </c>
      <c r="C10">
        <v>1029</v>
      </c>
      <c r="D10">
        <v>1018</v>
      </c>
      <c r="E10">
        <f t="shared" si="0"/>
        <v>2047</v>
      </c>
      <c r="F10" s="1">
        <v>0.02</v>
      </c>
      <c r="G10" s="1">
        <f t="shared" si="1"/>
        <v>102350</v>
      </c>
    </row>
    <row r="11" spans="1:7" hidden="1" x14ac:dyDescent="0.2">
      <c r="A11" t="s">
        <v>8</v>
      </c>
      <c r="B11" t="s">
        <v>1</v>
      </c>
      <c r="C11">
        <v>908</v>
      </c>
      <c r="D11">
        <v>947</v>
      </c>
      <c r="E11">
        <f t="shared" ref="E11:E13" si="2">C11+D11</f>
        <v>1855</v>
      </c>
      <c r="F11" s="1">
        <v>2.97</v>
      </c>
      <c r="G11" s="1">
        <f t="shared" ref="G11:G13" si="3">E11/F11</f>
        <v>624.57912457912448</v>
      </c>
    </row>
    <row r="12" spans="1:7" hidden="1" x14ac:dyDescent="0.2">
      <c r="A12" t="s">
        <v>9</v>
      </c>
      <c r="B12" t="s">
        <v>1</v>
      </c>
      <c r="C12">
        <v>2314</v>
      </c>
      <c r="D12">
        <v>2158</v>
      </c>
      <c r="E12">
        <f t="shared" si="2"/>
        <v>4472</v>
      </c>
      <c r="F12" s="1">
        <v>13.6</v>
      </c>
      <c r="G12" s="1">
        <f t="shared" si="3"/>
        <v>328.8235294117647</v>
      </c>
    </row>
    <row r="13" spans="1:7" hidden="1" x14ac:dyDescent="0.2">
      <c r="A13" t="s">
        <v>6</v>
      </c>
      <c r="B13" t="s">
        <v>7</v>
      </c>
      <c r="C13">
        <v>1029</v>
      </c>
      <c r="D13">
        <v>1018</v>
      </c>
      <c r="E13">
        <f t="shared" si="2"/>
        <v>2047</v>
      </c>
      <c r="F13" s="1">
        <v>0.02</v>
      </c>
      <c r="G13" s="1">
        <f t="shared" si="3"/>
        <v>102350</v>
      </c>
    </row>
    <row r="14" spans="1:7" hidden="1" x14ac:dyDescent="0.2">
      <c r="A14" t="s">
        <v>10</v>
      </c>
      <c r="B14" t="s">
        <v>1</v>
      </c>
      <c r="C14">
        <v>1014</v>
      </c>
      <c r="D14">
        <v>946</v>
      </c>
      <c r="E14">
        <f t="shared" ref="E14:E16" si="4">C14+D14</f>
        <v>1960</v>
      </c>
      <c r="F14" s="1">
        <v>2.46</v>
      </c>
      <c r="G14" s="1">
        <f t="shared" ref="G14:G16" si="5">E14/F14</f>
        <v>796.7479674796748</v>
      </c>
    </row>
    <row r="15" spans="1:7" hidden="1" x14ac:dyDescent="0.2">
      <c r="A15" t="s">
        <v>11</v>
      </c>
      <c r="B15" t="s">
        <v>1</v>
      </c>
      <c r="C15">
        <v>973</v>
      </c>
      <c r="D15">
        <v>1051</v>
      </c>
      <c r="E15">
        <f t="shared" si="4"/>
        <v>2024</v>
      </c>
      <c r="F15" s="1">
        <v>3.24</v>
      </c>
      <c r="G15" s="1">
        <f t="shared" si="5"/>
        <v>624.69135802469134</v>
      </c>
    </row>
    <row r="16" spans="1:7" hidden="1" x14ac:dyDescent="0.2">
      <c r="A16" t="s">
        <v>6</v>
      </c>
      <c r="B16" t="s">
        <v>7</v>
      </c>
      <c r="C16">
        <v>1029</v>
      </c>
      <c r="D16">
        <v>1018</v>
      </c>
      <c r="E16">
        <f t="shared" si="4"/>
        <v>2047</v>
      </c>
      <c r="F16" s="1">
        <v>0.02</v>
      </c>
      <c r="G16" s="1">
        <f t="shared" si="5"/>
        <v>102350</v>
      </c>
    </row>
    <row r="17" spans="1:7" hidden="1" x14ac:dyDescent="0.2">
      <c r="A17" t="s">
        <v>12</v>
      </c>
      <c r="B17" t="s">
        <v>1</v>
      </c>
      <c r="C17">
        <v>889</v>
      </c>
      <c r="D17">
        <v>907</v>
      </c>
      <c r="E17">
        <f t="shared" ref="E17:E22" si="6">C17+D17</f>
        <v>1796</v>
      </c>
      <c r="F17" s="1">
        <v>2.2200000000000002</v>
      </c>
      <c r="G17" s="1">
        <f t="shared" ref="G17:G22" si="7">E17/F17</f>
        <v>809.00900900900899</v>
      </c>
    </row>
    <row r="18" spans="1:7" hidden="1" x14ac:dyDescent="0.2">
      <c r="A18" t="s">
        <v>13</v>
      </c>
      <c r="B18" t="s">
        <v>1</v>
      </c>
      <c r="C18">
        <v>3606</v>
      </c>
      <c r="D18">
        <v>3468</v>
      </c>
      <c r="E18">
        <f t="shared" si="6"/>
        <v>7074</v>
      </c>
      <c r="F18" s="1">
        <v>7.18</v>
      </c>
      <c r="G18" s="1">
        <f t="shared" si="7"/>
        <v>985.23676880222843</v>
      </c>
    </row>
    <row r="19" spans="1:7" hidden="1" x14ac:dyDescent="0.2">
      <c r="A19" t="s">
        <v>14</v>
      </c>
      <c r="B19" t="s">
        <v>1</v>
      </c>
      <c r="C19">
        <v>5367</v>
      </c>
      <c r="D19">
        <v>5464</v>
      </c>
      <c r="E19">
        <f t="shared" si="6"/>
        <v>10831</v>
      </c>
      <c r="F19" s="1">
        <v>11.83</v>
      </c>
      <c r="G19" s="1">
        <f t="shared" si="7"/>
        <v>915.55367709213863</v>
      </c>
    </row>
    <row r="20" spans="1:7" hidden="1" x14ac:dyDescent="0.2">
      <c r="A20" t="s">
        <v>15</v>
      </c>
      <c r="B20" t="s">
        <v>1</v>
      </c>
      <c r="C20">
        <v>4542</v>
      </c>
      <c r="D20">
        <v>4553</v>
      </c>
      <c r="E20">
        <f t="shared" si="6"/>
        <v>9095</v>
      </c>
      <c r="F20" s="1">
        <v>18.489999999999998</v>
      </c>
      <c r="G20" s="1">
        <f t="shared" si="7"/>
        <v>491.8875067604111</v>
      </c>
    </row>
    <row r="21" spans="1:7" hidden="1" x14ac:dyDescent="0.2">
      <c r="A21" t="s">
        <v>16</v>
      </c>
      <c r="B21" t="s">
        <v>7</v>
      </c>
      <c r="C21">
        <v>2014</v>
      </c>
      <c r="D21">
        <v>2022</v>
      </c>
      <c r="E21">
        <f t="shared" si="6"/>
        <v>4036</v>
      </c>
      <c r="F21" s="1">
        <v>1.2</v>
      </c>
      <c r="G21" s="1">
        <f t="shared" si="7"/>
        <v>3363.3333333333335</v>
      </c>
    </row>
    <row r="22" spans="1:7" hidden="1" x14ac:dyDescent="0.2">
      <c r="A22" t="s">
        <v>17</v>
      </c>
      <c r="B22" t="s">
        <v>7</v>
      </c>
      <c r="C22">
        <v>1961</v>
      </c>
      <c r="D22">
        <v>2057</v>
      </c>
      <c r="E22">
        <f t="shared" si="6"/>
        <v>4018</v>
      </c>
      <c r="F22" s="1">
        <v>1.74</v>
      </c>
      <c r="G22" s="1">
        <f t="shared" si="7"/>
        <v>2309.1954022988507</v>
      </c>
    </row>
    <row r="23" spans="1:7" hidden="1" x14ac:dyDescent="0.2">
      <c r="A23" t="s">
        <v>18</v>
      </c>
      <c r="B23" t="s">
        <v>1</v>
      </c>
      <c r="C23">
        <v>2261</v>
      </c>
      <c r="D23">
        <v>2349</v>
      </c>
      <c r="E23">
        <f t="shared" ref="E23:E26" si="8">C23+D23</f>
        <v>4610</v>
      </c>
      <c r="F23" s="1">
        <v>4.87</v>
      </c>
      <c r="G23" s="1">
        <f>E23/F23</f>
        <v>946.61190965092396</v>
      </c>
    </row>
    <row r="24" spans="1:7" hidden="1" x14ac:dyDescent="0.2">
      <c r="A24" t="s">
        <v>19</v>
      </c>
      <c r="B24" t="s">
        <v>7</v>
      </c>
      <c r="C24">
        <v>4341</v>
      </c>
      <c r="D24">
        <v>4297</v>
      </c>
      <c r="E24">
        <f t="shared" si="8"/>
        <v>8638</v>
      </c>
      <c r="F24" s="1">
        <v>1.1499999999999999</v>
      </c>
      <c r="G24" s="1">
        <f t="shared" ref="G24:G26" si="9">E24/F24</f>
        <v>7511.3043478260879</v>
      </c>
    </row>
    <row r="25" spans="1:7" hidden="1" x14ac:dyDescent="0.2">
      <c r="A25" t="s">
        <v>20</v>
      </c>
      <c r="B25" t="s">
        <v>7</v>
      </c>
      <c r="C25">
        <v>929</v>
      </c>
      <c r="D25">
        <v>986</v>
      </c>
      <c r="E25">
        <f t="shared" si="8"/>
        <v>1915</v>
      </c>
      <c r="F25" s="1">
        <v>3.14</v>
      </c>
      <c r="G25" s="1">
        <f t="shared" si="9"/>
        <v>609.87261146496814</v>
      </c>
    </row>
    <row r="26" spans="1:7" hidden="1" x14ac:dyDescent="0.2">
      <c r="A26" t="s">
        <v>21</v>
      </c>
      <c r="B26" t="s">
        <v>7</v>
      </c>
      <c r="C26">
        <v>1715</v>
      </c>
      <c r="D26">
        <v>1681</v>
      </c>
      <c r="E26">
        <f t="shared" si="8"/>
        <v>3396</v>
      </c>
      <c r="F26" s="1">
        <v>1.4</v>
      </c>
      <c r="G26" s="1">
        <f t="shared" si="9"/>
        <v>2425.7142857142858</v>
      </c>
    </row>
    <row r="27" spans="1:7" hidden="1" x14ac:dyDescent="0.2">
      <c r="A27" t="s">
        <v>22</v>
      </c>
      <c r="B27" t="s">
        <v>1</v>
      </c>
      <c r="C27">
        <v>2086</v>
      </c>
      <c r="D27">
        <v>2056</v>
      </c>
      <c r="E27">
        <f t="shared" ref="E27:E40" si="10">C27+D27</f>
        <v>4142</v>
      </c>
      <c r="F27" s="1">
        <v>4.9800000000000004</v>
      </c>
      <c r="G27" s="1">
        <f>E27/F27</f>
        <v>831.72690763052196</v>
      </c>
    </row>
    <row r="28" spans="1:7" hidden="1" x14ac:dyDescent="0.2">
      <c r="A28" t="s">
        <v>23</v>
      </c>
      <c r="B28" t="s">
        <v>7</v>
      </c>
      <c r="C28">
        <v>2875</v>
      </c>
      <c r="D28">
        <v>2961</v>
      </c>
      <c r="E28">
        <f t="shared" si="10"/>
        <v>5836</v>
      </c>
      <c r="F28" s="1">
        <v>3.57</v>
      </c>
      <c r="G28" s="1">
        <f t="shared" ref="G28:G40" si="11">E28/F28</f>
        <v>1634.733893557423</v>
      </c>
    </row>
    <row r="29" spans="1:7" hidden="1" x14ac:dyDescent="0.2">
      <c r="A29" t="s">
        <v>24</v>
      </c>
      <c r="B29" t="s">
        <v>7</v>
      </c>
      <c r="C29">
        <v>1886</v>
      </c>
      <c r="D29">
        <v>2031</v>
      </c>
      <c r="E29">
        <f t="shared" si="10"/>
        <v>3917</v>
      </c>
      <c r="F29" s="1">
        <v>5.27</v>
      </c>
      <c r="G29" s="1">
        <f t="shared" si="11"/>
        <v>743.26375711574963</v>
      </c>
    </row>
    <row r="30" spans="1:7" hidden="1" x14ac:dyDescent="0.2">
      <c r="A30" t="s">
        <v>25</v>
      </c>
      <c r="B30" t="s">
        <v>7</v>
      </c>
      <c r="C30">
        <v>2456</v>
      </c>
      <c r="D30">
        <v>2557</v>
      </c>
      <c r="E30">
        <f t="shared" si="10"/>
        <v>5013</v>
      </c>
      <c r="F30" s="1">
        <v>2.68</v>
      </c>
      <c r="G30" s="1">
        <f t="shared" si="11"/>
        <v>1870.5223880597014</v>
      </c>
    </row>
    <row r="31" spans="1:7" hidden="1" x14ac:dyDescent="0.2">
      <c r="A31" t="s">
        <v>26</v>
      </c>
      <c r="B31" t="s">
        <v>7</v>
      </c>
      <c r="C31">
        <v>1277</v>
      </c>
      <c r="D31">
        <v>1356</v>
      </c>
      <c r="E31">
        <f t="shared" si="10"/>
        <v>2633</v>
      </c>
      <c r="F31" s="1">
        <v>2.52</v>
      </c>
      <c r="G31" s="1">
        <f t="shared" si="11"/>
        <v>1044.8412698412699</v>
      </c>
    </row>
    <row r="32" spans="1:7" hidden="1" x14ac:dyDescent="0.2">
      <c r="A32" t="s">
        <v>27</v>
      </c>
      <c r="B32" t="s">
        <v>7</v>
      </c>
      <c r="C32">
        <v>2670</v>
      </c>
      <c r="D32">
        <v>2550</v>
      </c>
      <c r="E32">
        <f t="shared" si="10"/>
        <v>5220</v>
      </c>
      <c r="F32" s="1">
        <v>5.85</v>
      </c>
      <c r="G32" s="1">
        <f t="shared" si="11"/>
        <v>892.30769230769238</v>
      </c>
    </row>
    <row r="33" spans="1:7" hidden="1" x14ac:dyDescent="0.2">
      <c r="A33" t="s">
        <v>28</v>
      </c>
      <c r="B33" t="s">
        <v>7</v>
      </c>
      <c r="C33">
        <v>751</v>
      </c>
      <c r="D33">
        <v>748</v>
      </c>
      <c r="E33">
        <f t="shared" si="10"/>
        <v>1499</v>
      </c>
      <c r="F33" s="1">
        <v>1.87</v>
      </c>
      <c r="G33" s="1">
        <f t="shared" si="11"/>
        <v>801.60427807486622</v>
      </c>
    </row>
    <row r="34" spans="1:7" hidden="1" x14ac:dyDescent="0.2">
      <c r="A34" t="s">
        <v>29</v>
      </c>
      <c r="B34" t="s">
        <v>7</v>
      </c>
      <c r="C34">
        <v>1260</v>
      </c>
      <c r="D34">
        <v>1297</v>
      </c>
      <c r="E34">
        <f t="shared" si="10"/>
        <v>2557</v>
      </c>
      <c r="F34" s="1">
        <v>3.25</v>
      </c>
      <c r="G34" s="1">
        <f t="shared" si="11"/>
        <v>786.76923076923072</v>
      </c>
    </row>
    <row r="35" spans="1:7" hidden="1" x14ac:dyDescent="0.2">
      <c r="A35" t="s">
        <v>30</v>
      </c>
      <c r="B35" t="s">
        <v>31</v>
      </c>
      <c r="C35">
        <v>751</v>
      </c>
      <c r="D35">
        <v>695</v>
      </c>
      <c r="E35">
        <f t="shared" si="10"/>
        <v>1446</v>
      </c>
      <c r="F35" s="1">
        <v>1.46</v>
      </c>
      <c r="G35" s="1">
        <f t="shared" si="11"/>
        <v>990.41095890410963</v>
      </c>
    </row>
    <row r="36" spans="1:7" hidden="1" x14ac:dyDescent="0.2">
      <c r="A36" t="s">
        <v>32</v>
      </c>
      <c r="B36" t="s">
        <v>31</v>
      </c>
      <c r="C36">
        <v>1010</v>
      </c>
      <c r="D36">
        <v>1043</v>
      </c>
      <c r="E36">
        <f t="shared" si="10"/>
        <v>2053</v>
      </c>
      <c r="F36" s="1">
        <v>1.58</v>
      </c>
      <c r="G36" s="1">
        <f t="shared" si="11"/>
        <v>1299.367088607595</v>
      </c>
    </row>
    <row r="37" spans="1:7" hidden="1" x14ac:dyDescent="0.2">
      <c r="A37" t="s">
        <v>33</v>
      </c>
      <c r="B37" t="s">
        <v>31</v>
      </c>
      <c r="C37">
        <v>708</v>
      </c>
      <c r="D37">
        <v>749</v>
      </c>
      <c r="E37">
        <f t="shared" si="10"/>
        <v>1457</v>
      </c>
      <c r="F37" s="1">
        <v>0.99</v>
      </c>
      <c r="G37" s="1">
        <f t="shared" si="11"/>
        <v>1471.7171717171718</v>
      </c>
    </row>
    <row r="38" spans="1:7" hidden="1" x14ac:dyDescent="0.2">
      <c r="A38" t="s">
        <v>34</v>
      </c>
      <c r="B38" t="s">
        <v>31</v>
      </c>
      <c r="C38">
        <v>489</v>
      </c>
      <c r="D38">
        <v>508</v>
      </c>
      <c r="E38">
        <f t="shared" si="10"/>
        <v>997</v>
      </c>
      <c r="F38" s="1">
        <v>0.28999999999999998</v>
      </c>
      <c r="G38" s="1">
        <f t="shared" si="11"/>
        <v>3437.9310344827591</v>
      </c>
    </row>
    <row r="39" spans="1:7" hidden="1" x14ac:dyDescent="0.2">
      <c r="A39" t="s">
        <v>35</v>
      </c>
      <c r="B39" t="s">
        <v>31</v>
      </c>
      <c r="C39">
        <v>827</v>
      </c>
      <c r="D39">
        <v>811</v>
      </c>
      <c r="E39">
        <f t="shared" si="10"/>
        <v>1638</v>
      </c>
      <c r="F39" s="1">
        <v>0.78</v>
      </c>
      <c r="G39" s="1">
        <f t="shared" si="11"/>
        <v>2100</v>
      </c>
    </row>
    <row r="40" spans="1:7" hidden="1" x14ac:dyDescent="0.2">
      <c r="A40" t="s">
        <v>36</v>
      </c>
      <c r="B40" t="s">
        <v>31</v>
      </c>
      <c r="C40">
        <v>1176</v>
      </c>
      <c r="D40">
        <v>1242</v>
      </c>
      <c r="E40">
        <f t="shared" si="10"/>
        <v>2418</v>
      </c>
      <c r="F40" s="1">
        <v>1.74</v>
      </c>
      <c r="G40" s="1">
        <f t="shared" si="11"/>
        <v>1389.655172413793</v>
      </c>
    </row>
    <row r="41" spans="1:7" hidden="1" x14ac:dyDescent="0.2">
      <c r="A41" t="s">
        <v>37</v>
      </c>
      <c r="B41" t="s">
        <v>7</v>
      </c>
      <c r="C41">
        <v>2113</v>
      </c>
      <c r="D41">
        <v>2226</v>
      </c>
      <c r="E41">
        <f t="shared" ref="E41:E43" si="12">C41+D41</f>
        <v>4339</v>
      </c>
      <c r="F41" s="1">
        <v>3.03</v>
      </c>
      <c r="G41" s="1">
        <f t="shared" ref="G41:G43" si="13">E41/F41</f>
        <v>1432.0132013201321</v>
      </c>
    </row>
    <row r="42" spans="1:7" hidden="1" x14ac:dyDescent="0.2">
      <c r="A42" t="s">
        <v>38</v>
      </c>
      <c r="B42" t="s">
        <v>7</v>
      </c>
      <c r="C42">
        <v>1339</v>
      </c>
      <c r="D42">
        <v>1302</v>
      </c>
      <c r="E42">
        <f t="shared" si="12"/>
        <v>2641</v>
      </c>
      <c r="F42" s="1">
        <v>3.8</v>
      </c>
      <c r="G42" s="1">
        <f t="shared" si="13"/>
        <v>695</v>
      </c>
    </row>
    <row r="43" spans="1:7" hidden="1" x14ac:dyDescent="0.2">
      <c r="A43" t="s">
        <v>39</v>
      </c>
      <c r="B43" t="s">
        <v>40</v>
      </c>
      <c r="C43">
        <v>3990</v>
      </c>
      <c r="D43">
        <v>3871</v>
      </c>
      <c r="E43">
        <f t="shared" si="12"/>
        <v>7861</v>
      </c>
      <c r="F43" s="1">
        <v>3.8</v>
      </c>
      <c r="G43" s="1">
        <f t="shared" si="13"/>
        <v>2068.6842105263158</v>
      </c>
    </row>
    <row r="44" spans="1:7" hidden="1" x14ac:dyDescent="0.2">
      <c r="A44" t="s">
        <v>41</v>
      </c>
      <c r="B44" t="s">
        <v>31</v>
      </c>
      <c r="C44">
        <v>2893</v>
      </c>
      <c r="D44">
        <v>3003</v>
      </c>
      <c r="E44">
        <f t="shared" ref="E44:E48" si="14">C44+D44</f>
        <v>5896</v>
      </c>
      <c r="F44" s="1">
        <v>3.84</v>
      </c>
      <c r="G44" s="1">
        <f t="shared" ref="G44:G48" si="15">E44/F44</f>
        <v>1535.4166666666667</v>
      </c>
    </row>
    <row r="45" spans="1:7" hidden="1" x14ac:dyDescent="0.2">
      <c r="A45" t="s">
        <v>42</v>
      </c>
      <c r="B45" t="s">
        <v>31</v>
      </c>
      <c r="C45">
        <v>3472</v>
      </c>
      <c r="D45">
        <v>3480</v>
      </c>
      <c r="E45">
        <f t="shared" si="14"/>
        <v>6952</v>
      </c>
      <c r="F45" s="1">
        <v>2.68</v>
      </c>
      <c r="G45" s="1">
        <f t="shared" si="15"/>
        <v>2594.0298507462685</v>
      </c>
    </row>
    <row r="46" spans="1:7" hidden="1" x14ac:dyDescent="0.2">
      <c r="A46" t="s">
        <v>43</v>
      </c>
      <c r="B46" t="s">
        <v>31</v>
      </c>
      <c r="C46">
        <v>1878</v>
      </c>
      <c r="D46">
        <v>1886</v>
      </c>
      <c r="E46">
        <f t="shared" si="14"/>
        <v>3764</v>
      </c>
      <c r="F46" s="1">
        <v>2.33</v>
      </c>
      <c r="G46" s="1">
        <f t="shared" si="15"/>
        <v>1615.4506437768239</v>
      </c>
    </row>
    <row r="47" spans="1:7" hidden="1" x14ac:dyDescent="0.2">
      <c r="A47" t="s">
        <v>44</v>
      </c>
      <c r="B47" t="s">
        <v>31</v>
      </c>
      <c r="C47">
        <v>927</v>
      </c>
      <c r="D47">
        <v>948</v>
      </c>
      <c r="E47">
        <f t="shared" si="14"/>
        <v>1875</v>
      </c>
      <c r="F47" s="1">
        <v>0.41</v>
      </c>
      <c r="G47" s="1">
        <f t="shared" si="15"/>
        <v>4573.1707317073169</v>
      </c>
    </row>
    <row r="48" spans="1:7" hidden="1" x14ac:dyDescent="0.2">
      <c r="A48" t="s">
        <v>45</v>
      </c>
      <c r="B48" t="s">
        <v>40</v>
      </c>
      <c r="C48">
        <v>2330</v>
      </c>
      <c r="D48">
        <v>2463</v>
      </c>
      <c r="E48">
        <f t="shared" si="14"/>
        <v>4793</v>
      </c>
      <c r="F48" s="1">
        <v>3.5</v>
      </c>
      <c r="G48" s="1">
        <f t="shared" si="15"/>
        <v>1369.4285714285713</v>
      </c>
    </row>
    <row r="49" spans="1:7" hidden="1" x14ac:dyDescent="0.2">
      <c r="A49" t="s">
        <v>46</v>
      </c>
      <c r="B49" t="s">
        <v>31</v>
      </c>
      <c r="C49">
        <v>734</v>
      </c>
      <c r="D49">
        <v>801</v>
      </c>
      <c r="E49">
        <f t="shared" ref="E49:E50" si="16">C49+D49</f>
        <v>1535</v>
      </c>
      <c r="F49" s="1">
        <v>1.1200000000000001</v>
      </c>
      <c r="G49" s="1">
        <f t="shared" ref="G49:G50" si="17">E49/F49</f>
        <v>1370.5357142857142</v>
      </c>
    </row>
    <row r="50" spans="1:7" hidden="1" x14ac:dyDescent="0.2">
      <c r="A50" t="s">
        <v>47</v>
      </c>
      <c r="B50" t="s">
        <v>40</v>
      </c>
      <c r="C50">
        <v>1843</v>
      </c>
      <c r="D50">
        <v>1792</v>
      </c>
      <c r="E50">
        <f t="shared" si="16"/>
        <v>3635</v>
      </c>
      <c r="F50" s="1">
        <v>2.7</v>
      </c>
      <c r="G50" s="1">
        <f t="shared" si="17"/>
        <v>1346.2962962962963</v>
      </c>
    </row>
    <row r="51" spans="1:7" hidden="1" x14ac:dyDescent="0.2">
      <c r="A51" t="s">
        <v>48</v>
      </c>
      <c r="B51" t="s">
        <v>31</v>
      </c>
      <c r="C51">
        <v>2663</v>
      </c>
      <c r="D51">
        <v>2718</v>
      </c>
      <c r="E51">
        <f t="shared" ref="E51:E52" si="18">C51+D51</f>
        <v>5381</v>
      </c>
      <c r="F51" s="1">
        <v>2.37</v>
      </c>
      <c r="G51" s="1">
        <f t="shared" ref="G51:G52" si="19">E51/F51</f>
        <v>2270.4641350210968</v>
      </c>
    </row>
    <row r="52" spans="1:7" hidden="1" x14ac:dyDescent="0.2">
      <c r="A52" t="s">
        <v>49</v>
      </c>
      <c r="B52" t="s">
        <v>40</v>
      </c>
      <c r="C52">
        <v>3064</v>
      </c>
      <c r="D52">
        <v>3077</v>
      </c>
      <c r="E52">
        <f t="shared" si="18"/>
        <v>6141</v>
      </c>
      <c r="F52" s="1">
        <v>2.4</v>
      </c>
      <c r="G52" s="1">
        <f t="shared" si="19"/>
        <v>2558.75</v>
      </c>
    </row>
    <row r="53" spans="1:7" hidden="1" x14ac:dyDescent="0.2">
      <c r="A53" t="s">
        <v>50</v>
      </c>
      <c r="B53" t="s">
        <v>31</v>
      </c>
      <c r="C53">
        <v>2339</v>
      </c>
      <c r="D53">
        <v>2396</v>
      </c>
      <c r="E53">
        <f t="shared" ref="E53:E55" si="20">C53+D53</f>
        <v>4735</v>
      </c>
      <c r="F53" s="1">
        <v>1.28</v>
      </c>
      <c r="G53" s="1">
        <f t="shared" ref="G53:G55" si="21">E53/F53</f>
        <v>3699.21875</v>
      </c>
    </row>
    <row r="54" spans="1:7" hidden="1" x14ac:dyDescent="0.2">
      <c r="A54" t="s">
        <v>51</v>
      </c>
      <c r="B54" t="s">
        <v>31</v>
      </c>
      <c r="C54">
        <v>2664</v>
      </c>
      <c r="D54">
        <v>2706</v>
      </c>
      <c r="E54">
        <f t="shared" si="20"/>
        <v>5370</v>
      </c>
      <c r="F54" s="1">
        <v>3.51</v>
      </c>
      <c r="G54" s="1">
        <f t="shared" si="21"/>
        <v>1529.91452991453</v>
      </c>
    </row>
    <row r="55" spans="1:7" hidden="1" x14ac:dyDescent="0.2">
      <c r="A55" t="s">
        <v>52</v>
      </c>
      <c r="B55" t="s">
        <v>40</v>
      </c>
      <c r="C55">
        <v>1550</v>
      </c>
      <c r="D55">
        <v>1586</v>
      </c>
      <c r="E55">
        <f t="shared" si="20"/>
        <v>3136</v>
      </c>
      <c r="F55" s="1">
        <v>2.7</v>
      </c>
      <c r="G55" s="1">
        <f t="shared" si="21"/>
        <v>1161.4814814814813</v>
      </c>
    </row>
    <row r="56" spans="1:7" hidden="1" x14ac:dyDescent="0.2">
      <c r="A56" t="s">
        <v>53</v>
      </c>
      <c r="B56" t="s">
        <v>31</v>
      </c>
      <c r="C56">
        <v>1211</v>
      </c>
      <c r="D56">
        <v>1182</v>
      </c>
      <c r="E56">
        <f t="shared" ref="E56:E57" si="22">C56+D56</f>
        <v>2393</v>
      </c>
      <c r="F56" s="1">
        <v>0.88</v>
      </c>
      <c r="G56" s="1">
        <f t="shared" ref="G56:G57" si="23">E56/F56</f>
        <v>2719.318181818182</v>
      </c>
    </row>
    <row r="57" spans="1:7" hidden="1" x14ac:dyDescent="0.2">
      <c r="A57" t="s">
        <v>54</v>
      </c>
      <c r="B57" t="s">
        <v>31</v>
      </c>
      <c r="C57">
        <v>978</v>
      </c>
      <c r="D57">
        <v>1059</v>
      </c>
      <c r="E57">
        <f t="shared" si="22"/>
        <v>2037</v>
      </c>
      <c r="F57" s="1">
        <v>1</v>
      </c>
      <c r="G57" s="1">
        <f t="shared" si="23"/>
        <v>2037</v>
      </c>
    </row>
    <row r="58" spans="1:7" hidden="1" x14ac:dyDescent="0.2">
      <c r="A58" t="s">
        <v>55</v>
      </c>
      <c r="B58" t="s">
        <v>56</v>
      </c>
      <c r="C58">
        <v>1510</v>
      </c>
      <c r="D58">
        <v>1464</v>
      </c>
      <c r="E58">
        <f>C58+D58</f>
        <v>2974</v>
      </c>
      <c r="F58" s="1">
        <v>5.14</v>
      </c>
      <c r="G58" s="1">
        <f>E58/F58</f>
        <v>578.59922178988336</v>
      </c>
    </row>
    <row r="59" spans="1:7" hidden="1" x14ac:dyDescent="0.2">
      <c r="A59" t="s">
        <v>57</v>
      </c>
      <c r="B59" t="s">
        <v>31</v>
      </c>
      <c r="C59">
        <v>1032</v>
      </c>
      <c r="D59">
        <v>981</v>
      </c>
      <c r="E59">
        <f t="shared" ref="E59:E60" si="24">C59+D59</f>
        <v>2013</v>
      </c>
      <c r="F59" s="1">
        <v>1.21</v>
      </c>
      <c r="G59" s="1">
        <f t="shared" ref="G59:G60" si="25">E59/F59</f>
        <v>1663.6363636363637</v>
      </c>
    </row>
    <row r="60" spans="1:7" hidden="1" x14ac:dyDescent="0.2">
      <c r="A60" t="s">
        <v>58</v>
      </c>
      <c r="B60" t="s">
        <v>40</v>
      </c>
      <c r="C60">
        <v>3462</v>
      </c>
      <c r="D60">
        <v>3491</v>
      </c>
      <c r="E60">
        <f t="shared" si="24"/>
        <v>6953</v>
      </c>
      <c r="F60" s="1">
        <v>0.4</v>
      </c>
      <c r="G60" s="1">
        <f t="shared" si="25"/>
        <v>17382.5</v>
      </c>
    </row>
    <row r="61" spans="1:7" hidden="1" x14ac:dyDescent="0.2">
      <c r="A61" t="s">
        <v>59</v>
      </c>
      <c r="B61" t="s">
        <v>31</v>
      </c>
      <c r="C61">
        <v>3132</v>
      </c>
      <c r="D61">
        <v>3092</v>
      </c>
      <c r="E61">
        <f t="shared" ref="E61" si="26">C61+D61</f>
        <v>6224</v>
      </c>
      <c r="F61" s="1">
        <v>4.83</v>
      </c>
      <c r="G61" s="1">
        <f t="shared" ref="G61" si="27">E61/F61</f>
        <v>1288.6128364389233</v>
      </c>
    </row>
    <row r="62" spans="1:7" hidden="1" x14ac:dyDescent="0.2">
      <c r="A62" t="s">
        <v>60</v>
      </c>
      <c r="B62" t="s">
        <v>56</v>
      </c>
      <c r="C62">
        <v>3127</v>
      </c>
      <c r="D62">
        <v>3183</v>
      </c>
      <c r="E62">
        <f t="shared" ref="E62:E67" si="28">C62+D62</f>
        <v>6310</v>
      </c>
      <c r="F62" s="1">
        <v>4.78</v>
      </c>
      <c r="G62" s="1">
        <f t="shared" ref="G62:G67" si="29">E62/F62</f>
        <v>1320.0836820083682</v>
      </c>
    </row>
    <row r="63" spans="1:7" hidden="1" x14ac:dyDescent="0.2">
      <c r="A63" t="s">
        <v>61</v>
      </c>
      <c r="B63" t="s">
        <v>40</v>
      </c>
      <c r="C63">
        <v>2239</v>
      </c>
      <c r="D63">
        <v>2192</v>
      </c>
      <c r="E63">
        <f t="shared" si="28"/>
        <v>4431</v>
      </c>
      <c r="F63" s="1">
        <v>5.6</v>
      </c>
      <c r="G63" s="1">
        <f t="shared" si="29"/>
        <v>791.25</v>
      </c>
    </row>
    <row r="64" spans="1:7" hidden="1" x14ac:dyDescent="0.2">
      <c r="A64" t="s">
        <v>62</v>
      </c>
      <c r="B64" t="s">
        <v>40</v>
      </c>
      <c r="C64">
        <v>3645</v>
      </c>
      <c r="D64">
        <v>3524</v>
      </c>
      <c r="E64">
        <f t="shared" si="28"/>
        <v>7169</v>
      </c>
      <c r="F64" s="1">
        <v>3.3</v>
      </c>
      <c r="G64" s="1">
        <f t="shared" si="29"/>
        <v>2172.4242424242425</v>
      </c>
    </row>
    <row r="65" spans="1:7" hidden="1" x14ac:dyDescent="0.2">
      <c r="A65" t="s">
        <v>63</v>
      </c>
      <c r="B65" t="s">
        <v>64</v>
      </c>
      <c r="C65">
        <v>3840</v>
      </c>
      <c r="D65">
        <v>3837</v>
      </c>
      <c r="E65">
        <f t="shared" si="28"/>
        <v>7677</v>
      </c>
      <c r="F65" s="1">
        <v>3.27</v>
      </c>
      <c r="G65" s="1">
        <f t="shared" si="29"/>
        <v>2347.7064220183488</v>
      </c>
    </row>
    <row r="66" spans="1:7" hidden="1" x14ac:dyDescent="0.2">
      <c r="A66" t="s">
        <v>65</v>
      </c>
      <c r="B66" t="s">
        <v>56</v>
      </c>
      <c r="C66">
        <v>4905</v>
      </c>
      <c r="D66">
        <v>4947</v>
      </c>
      <c r="E66">
        <f t="shared" si="28"/>
        <v>9852</v>
      </c>
      <c r="F66" s="1">
        <v>4.04</v>
      </c>
      <c r="G66" s="1">
        <f t="shared" si="29"/>
        <v>2438.6138613861385</v>
      </c>
    </row>
    <row r="67" spans="1:7" hidden="1" x14ac:dyDescent="0.2">
      <c r="A67" t="s">
        <v>66</v>
      </c>
      <c r="B67" t="s">
        <v>40</v>
      </c>
      <c r="C67">
        <v>2130</v>
      </c>
      <c r="D67">
        <v>2175</v>
      </c>
      <c r="E67">
        <f t="shared" si="28"/>
        <v>4305</v>
      </c>
      <c r="F67" s="1">
        <v>2.9</v>
      </c>
      <c r="G67" s="1">
        <f t="shared" si="29"/>
        <v>1484.4827586206898</v>
      </c>
    </row>
    <row r="68" spans="1:7" hidden="1" x14ac:dyDescent="0.2">
      <c r="A68" t="s">
        <v>67</v>
      </c>
      <c r="B68" t="s">
        <v>64</v>
      </c>
      <c r="C68">
        <v>2613</v>
      </c>
      <c r="D68">
        <v>2559</v>
      </c>
      <c r="E68">
        <f t="shared" ref="E68:E70" si="30">C68+D68</f>
        <v>5172</v>
      </c>
      <c r="F68" s="1">
        <v>4.5999999999999996</v>
      </c>
      <c r="G68" s="1">
        <f t="shared" ref="G68:G70" si="31">E68/F68</f>
        <v>1124.3478260869565</v>
      </c>
    </row>
    <row r="69" spans="1:7" hidden="1" x14ac:dyDescent="0.2">
      <c r="A69" t="s">
        <v>68</v>
      </c>
      <c r="B69" t="s">
        <v>64</v>
      </c>
      <c r="C69">
        <v>941</v>
      </c>
      <c r="D69">
        <v>943</v>
      </c>
      <c r="E69">
        <f t="shared" si="30"/>
        <v>1884</v>
      </c>
      <c r="F69" s="1">
        <v>1.58</v>
      </c>
      <c r="G69" s="1">
        <f t="shared" si="31"/>
        <v>1192.4050632911392</v>
      </c>
    </row>
    <row r="70" spans="1:7" hidden="1" x14ac:dyDescent="0.2">
      <c r="A70" t="s">
        <v>69</v>
      </c>
      <c r="B70" t="s">
        <v>40</v>
      </c>
      <c r="C70">
        <v>1787</v>
      </c>
      <c r="D70">
        <v>1801</v>
      </c>
      <c r="E70">
        <f t="shared" si="30"/>
        <v>3588</v>
      </c>
      <c r="F70" s="1">
        <v>4.5</v>
      </c>
      <c r="G70" s="1">
        <f t="shared" si="31"/>
        <v>797.33333333333337</v>
      </c>
    </row>
    <row r="71" spans="1:7" hidden="1" x14ac:dyDescent="0.2">
      <c r="A71" t="s">
        <v>70</v>
      </c>
      <c r="B71" t="s">
        <v>64</v>
      </c>
      <c r="C71">
        <v>2501</v>
      </c>
      <c r="D71">
        <v>2521</v>
      </c>
      <c r="E71">
        <f t="shared" ref="E71:E77" si="32">C71+D71</f>
        <v>5022</v>
      </c>
      <c r="F71" s="1">
        <v>2.17</v>
      </c>
      <c r="G71" s="1">
        <f t="shared" ref="G71:G77" si="33">E71/F71</f>
        <v>2314.2857142857142</v>
      </c>
    </row>
    <row r="72" spans="1:7" hidden="1" x14ac:dyDescent="0.2">
      <c r="A72" t="s">
        <v>71</v>
      </c>
      <c r="B72" t="s">
        <v>72</v>
      </c>
      <c r="C72">
        <v>2546</v>
      </c>
      <c r="D72">
        <v>2496</v>
      </c>
      <c r="E72">
        <f t="shared" si="32"/>
        <v>5042</v>
      </c>
      <c r="F72" s="1">
        <v>2.95</v>
      </c>
      <c r="G72" s="1">
        <f t="shared" si="33"/>
        <v>1709.1525423728813</v>
      </c>
    </row>
    <row r="73" spans="1:7" hidden="1" x14ac:dyDescent="0.2">
      <c r="A73" t="s">
        <v>73</v>
      </c>
      <c r="B73" t="s">
        <v>72</v>
      </c>
      <c r="C73">
        <v>1043</v>
      </c>
      <c r="D73">
        <v>1035</v>
      </c>
      <c r="E73">
        <f t="shared" si="32"/>
        <v>2078</v>
      </c>
      <c r="F73" s="1">
        <v>1.79</v>
      </c>
      <c r="G73" s="1">
        <f t="shared" si="33"/>
        <v>1160.8938547486034</v>
      </c>
    </row>
    <row r="74" spans="1:7" hidden="1" x14ac:dyDescent="0.2">
      <c r="A74" t="s">
        <v>74</v>
      </c>
      <c r="B74" t="s">
        <v>75</v>
      </c>
      <c r="C74">
        <v>1423</v>
      </c>
      <c r="D74">
        <v>1628</v>
      </c>
      <c r="E74">
        <f t="shared" si="32"/>
        <v>3051</v>
      </c>
      <c r="F74" s="1">
        <v>2.4700000000000002</v>
      </c>
      <c r="G74" s="1">
        <f t="shared" si="33"/>
        <v>1235.2226720647773</v>
      </c>
    </row>
    <row r="75" spans="1:7" hidden="1" x14ac:dyDescent="0.2">
      <c r="A75" t="s">
        <v>76</v>
      </c>
      <c r="B75" t="s">
        <v>64</v>
      </c>
      <c r="C75">
        <v>1093</v>
      </c>
      <c r="D75">
        <v>1135</v>
      </c>
      <c r="E75">
        <f t="shared" si="32"/>
        <v>2228</v>
      </c>
      <c r="F75" s="1">
        <v>0.75</v>
      </c>
      <c r="G75" s="1">
        <f t="shared" si="33"/>
        <v>2970.6666666666665</v>
      </c>
    </row>
    <row r="76" spans="1:7" hidden="1" x14ac:dyDescent="0.2">
      <c r="A76" t="s">
        <v>77</v>
      </c>
      <c r="B76" t="s">
        <v>75</v>
      </c>
      <c r="C76">
        <v>2584</v>
      </c>
      <c r="D76">
        <v>2761</v>
      </c>
      <c r="E76">
        <f t="shared" si="32"/>
        <v>5345</v>
      </c>
      <c r="F76" s="1">
        <v>3.3</v>
      </c>
      <c r="G76" s="1">
        <f t="shared" si="33"/>
        <v>1619.6969696969697</v>
      </c>
    </row>
    <row r="77" spans="1:7" hidden="1" x14ac:dyDescent="0.2">
      <c r="A77" t="s">
        <v>78</v>
      </c>
      <c r="B77" t="s">
        <v>64</v>
      </c>
      <c r="C77">
        <v>7660</v>
      </c>
      <c r="D77">
        <v>7761</v>
      </c>
      <c r="E77">
        <f t="shared" si="32"/>
        <v>15421</v>
      </c>
      <c r="F77" s="1">
        <v>5.29</v>
      </c>
      <c r="G77" s="1">
        <f t="shared" si="33"/>
        <v>2915.1228733459357</v>
      </c>
    </row>
    <row r="78" spans="1:7" hidden="1" x14ac:dyDescent="0.2">
      <c r="A78" t="s">
        <v>79</v>
      </c>
      <c r="B78" t="s">
        <v>56</v>
      </c>
      <c r="C78">
        <v>2644</v>
      </c>
      <c r="D78">
        <v>2722</v>
      </c>
      <c r="E78">
        <f t="shared" ref="E78:E81" si="34">C78+D78</f>
        <v>5366</v>
      </c>
      <c r="F78" s="1">
        <v>2.42</v>
      </c>
      <c r="G78" s="1">
        <f t="shared" ref="G78:G81" si="35">E78/F78</f>
        <v>2217.3553719008264</v>
      </c>
    </row>
    <row r="79" spans="1:7" hidden="1" x14ac:dyDescent="0.2">
      <c r="A79" t="s">
        <v>80</v>
      </c>
      <c r="B79" t="s">
        <v>56</v>
      </c>
      <c r="C79">
        <v>2191</v>
      </c>
      <c r="D79">
        <v>2313</v>
      </c>
      <c r="E79">
        <f t="shared" si="34"/>
        <v>4504</v>
      </c>
      <c r="F79" s="1">
        <v>0.93</v>
      </c>
      <c r="G79" s="1">
        <f t="shared" si="35"/>
        <v>4843.010752688172</v>
      </c>
    </row>
    <row r="80" spans="1:7" hidden="1" x14ac:dyDescent="0.2">
      <c r="A80" t="s">
        <v>81</v>
      </c>
      <c r="B80" t="s">
        <v>72</v>
      </c>
      <c r="C80">
        <v>896</v>
      </c>
      <c r="D80">
        <v>861</v>
      </c>
      <c r="E80">
        <f t="shared" si="34"/>
        <v>1757</v>
      </c>
      <c r="F80" s="1">
        <v>0.85</v>
      </c>
      <c r="G80" s="1">
        <f t="shared" si="35"/>
        <v>2067.0588235294117</v>
      </c>
    </row>
    <row r="81" spans="1:7" hidden="1" x14ac:dyDescent="0.2">
      <c r="A81" t="s">
        <v>82</v>
      </c>
      <c r="B81" t="s">
        <v>72</v>
      </c>
      <c r="C81">
        <v>1627</v>
      </c>
      <c r="D81">
        <v>1686</v>
      </c>
      <c r="E81">
        <f t="shared" si="34"/>
        <v>3313</v>
      </c>
      <c r="F81" s="1">
        <v>2.7</v>
      </c>
      <c r="G81" s="1">
        <f t="shared" si="35"/>
        <v>1227.037037037037</v>
      </c>
    </row>
    <row r="82" spans="1:7" hidden="1" x14ac:dyDescent="0.2">
      <c r="A82" t="s">
        <v>83</v>
      </c>
      <c r="B82" t="s">
        <v>64</v>
      </c>
      <c r="C82">
        <v>2752</v>
      </c>
      <c r="D82">
        <v>2849</v>
      </c>
      <c r="E82">
        <f>C82+D82</f>
        <v>5601</v>
      </c>
      <c r="F82" s="1">
        <v>1.28</v>
      </c>
      <c r="G82" s="1">
        <f>E82/F82</f>
        <v>4375.78125</v>
      </c>
    </row>
    <row r="83" spans="1:7" hidden="1" x14ac:dyDescent="0.2">
      <c r="A83" t="s">
        <v>84</v>
      </c>
      <c r="B83" t="s">
        <v>72</v>
      </c>
      <c r="C83">
        <v>1586</v>
      </c>
      <c r="D83">
        <v>1523</v>
      </c>
      <c r="E83">
        <f>C83+D83</f>
        <v>3109</v>
      </c>
      <c r="F83" s="1">
        <v>2.23</v>
      </c>
      <c r="G83" s="1">
        <f>E83/F83</f>
        <v>1394.1704035874441</v>
      </c>
    </row>
    <row r="84" spans="1:7" hidden="1" x14ac:dyDescent="0.2">
      <c r="A84" t="s">
        <v>85</v>
      </c>
      <c r="B84" t="s">
        <v>64</v>
      </c>
      <c r="C84">
        <v>1269</v>
      </c>
      <c r="D84">
        <v>1309</v>
      </c>
      <c r="E84">
        <f t="shared" ref="E84:E85" si="36">C84+D84</f>
        <v>2578</v>
      </c>
      <c r="F84" s="1">
        <v>1.77</v>
      </c>
      <c r="G84" s="1">
        <f t="shared" ref="G84:G85" si="37">E84/F84</f>
        <v>1456.4971751412429</v>
      </c>
    </row>
    <row r="85" spans="1:7" hidden="1" x14ac:dyDescent="0.2">
      <c r="A85" t="s">
        <v>86</v>
      </c>
      <c r="B85" t="s">
        <v>64</v>
      </c>
      <c r="C85">
        <v>3481</v>
      </c>
      <c r="D85">
        <v>3528</v>
      </c>
      <c r="E85">
        <f t="shared" si="36"/>
        <v>7009</v>
      </c>
      <c r="F85" s="1">
        <v>2.2400000000000002</v>
      </c>
      <c r="G85" s="1">
        <f t="shared" si="37"/>
        <v>3129.0178571428569</v>
      </c>
    </row>
    <row r="86" spans="1:7" hidden="1" x14ac:dyDescent="0.2">
      <c r="A86" t="s">
        <v>87</v>
      </c>
      <c r="B86" t="s">
        <v>75</v>
      </c>
      <c r="C86">
        <v>1546</v>
      </c>
      <c r="D86">
        <v>2081</v>
      </c>
      <c r="E86">
        <f t="shared" ref="E86:E94" si="38">C86+D86</f>
        <v>3627</v>
      </c>
      <c r="F86" s="1">
        <v>2.77</v>
      </c>
      <c r="G86" s="1">
        <f t="shared" ref="G86:G94" si="39">E86/F86</f>
        <v>1309.3862815884477</v>
      </c>
    </row>
    <row r="87" spans="1:7" hidden="1" x14ac:dyDescent="0.2">
      <c r="A87" t="s">
        <v>88</v>
      </c>
      <c r="B87" t="s">
        <v>56</v>
      </c>
      <c r="C87">
        <v>2724</v>
      </c>
      <c r="D87">
        <v>2721</v>
      </c>
      <c r="E87">
        <f t="shared" si="38"/>
        <v>5445</v>
      </c>
      <c r="F87" s="1">
        <v>4.82</v>
      </c>
      <c r="G87" s="1">
        <f t="shared" si="39"/>
        <v>1129.6680497925311</v>
      </c>
    </row>
    <row r="88" spans="1:7" hidden="1" x14ac:dyDescent="0.2">
      <c r="A88" t="s">
        <v>89</v>
      </c>
      <c r="B88" t="s">
        <v>72</v>
      </c>
      <c r="C88">
        <v>2948</v>
      </c>
      <c r="D88">
        <v>2789</v>
      </c>
      <c r="E88">
        <f t="shared" si="38"/>
        <v>5737</v>
      </c>
      <c r="F88" s="1">
        <v>3.86</v>
      </c>
      <c r="G88" s="1">
        <f t="shared" si="39"/>
        <v>1486.2694300518135</v>
      </c>
    </row>
    <row r="89" spans="1:7" hidden="1" x14ac:dyDescent="0.2">
      <c r="A89" t="s">
        <v>90</v>
      </c>
      <c r="B89" t="s">
        <v>64</v>
      </c>
      <c r="C89">
        <v>2222</v>
      </c>
      <c r="D89">
        <v>2290</v>
      </c>
      <c r="E89">
        <f t="shared" si="38"/>
        <v>4512</v>
      </c>
      <c r="F89" s="1">
        <v>0.56000000000000005</v>
      </c>
      <c r="G89" s="1">
        <f t="shared" si="39"/>
        <v>8057.142857142856</v>
      </c>
    </row>
    <row r="90" spans="1:7" hidden="1" x14ac:dyDescent="0.2">
      <c r="A90" t="s">
        <v>91</v>
      </c>
      <c r="B90" t="s">
        <v>75</v>
      </c>
      <c r="C90">
        <v>2856</v>
      </c>
      <c r="D90">
        <v>3205</v>
      </c>
      <c r="E90">
        <f t="shared" si="38"/>
        <v>6061</v>
      </c>
      <c r="F90" s="1">
        <v>2.58</v>
      </c>
      <c r="G90" s="1">
        <f t="shared" si="39"/>
        <v>2349.2248062015501</v>
      </c>
    </row>
    <row r="91" spans="1:7" hidden="1" x14ac:dyDescent="0.2">
      <c r="A91" t="s">
        <v>92</v>
      </c>
      <c r="B91" t="s">
        <v>93</v>
      </c>
      <c r="C91">
        <v>2482</v>
      </c>
      <c r="D91">
        <v>2583</v>
      </c>
      <c r="E91">
        <f t="shared" si="38"/>
        <v>5065</v>
      </c>
      <c r="F91" s="1">
        <v>3.21</v>
      </c>
      <c r="G91" s="1">
        <f t="shared" si="39"/>
        <v>1577.8816199376947</v>
      </c>
    </row>
    <row r="92" spans="1:7" hidden="1" x14ac:dyDescent="0.2">
      <c r="A92" t="s">
        <v>94</v>
      </c>
      <c r="B92" t="s">
        <v>56</v>
      </c>
      <c r="C92">
        <v>2454</v>
      </c>
      <c r="D92">
        <v>2629</v>
      </c>
      <c r="E92">
        <f t="shared" si="38"/>
        <v>5083</v>
      </c>
      <c r="F92" s="1">
        <v>1.34</v>
      </c>
      <c r="G92" s="1">
        <f t="shared" si="39"/>
        <v>3793.2835820895521</v>
      </c>
    </row>
    <row r="93" spans="1:7" hidden="1" x14ac:dyDescent="0.2">
      <c r="A93" t="s">
        <v>95</v>
      </c>
      <c r="B93" t="s">
        <v>75</v>
      </c>
      <c r="C93">
        <v>2688</v>
      </c>
      <c r="D93">
        <v>2723</v>
      </c>
      <c r="E93">
        <f t="shared" si="38"/>
        <v>5411</v>
      </c>
      <c r="F93" s="1">
        <v>1.93</v>
      </c>
      <c r="G93" s="1">
        <f t="shared" si="39"/>
        <v>2803.6269430051816</v>
      </c>
    </row>
    <row r="94" spans="1:7" hidden="1" x14ac:dyDescent="0.2">
      <c r="A94" t="s">
        <v>96</v>
      </c>
      <c r="B94" t="s">
        <v>72</v>
      </c>
      <c r="C94">
        <v>1251</v>
      </c>
      <c r="D94">
        <v>1198</v>
      </c>
      <c r="E94">
        <f t="shared" si="38"/>
        <v>2449</v>
      </c>
      <c r="F94" s="1">
        <v>2.84</v>
      </c>
      <c r="G94" s="1">
        <f t="shared" si="39"/>
        <v>862.32394366197184</v>
      </c>
    </row>
    <row r="95" spans="1:7" hidden="1" x14ac:dyDescent="0.2">
      <c r="A95" t="s">
        <v>97</v>
      </c>
      <c r="B95" t="s">
        <v>64</v>
      </c>
      <c r="C95">
        <v>1354</v>
      </c>
      <c r="D95">
        <v>1381</v>
      </c>
      <c r="E95">
        <f t="shared" ref="E95:E97" si="40">C95+D95</f>
        <v>2735</v>
      </c>
      <c r="F95" s="1">
        <v>0.63</v>
      </c>
      <c r="G95" s="1">
        <f t="shared" ref="G95:G97" si="41">E95/F95</f>
        <v>4341.269841269841</v>
      </c>
    </row>
    <row r="96" spans="1:7" hidden="1" x14ac:dyDescent="0.2">
      <c r="A96" t="s">
        <v>98</v>
      </c>
      <c r="B96" t="s">
        <v>64</v>
      </c>
      <c r="C96">
        <v>2097</v>
      </c>
      <c r="D96">
        <v>2144</v>
      </c>
      <c r="E96">
        <f t="shared" si="40"/>
        <v>4241</v>
      </c>
      <c r="F96" s="1">
        <v>0.95</v>
      </c>
      <c r="G96" s="1">
        <f t="shared" si="41"/>
        <v>4464.21052631579</v>
      </c>
    </row>
    <row r="97" spans="1:7" hidden="1" x14ac:dyDescent="0.2">
      <c r="A97" t="s">
        <v>99</v>
      </c>
      <c r="B97" t="s">
        <v>100</v>
      </c>
      <c r="C97">
        <v>1132</v>
      </c>
      <c r="D97">
        <v>1144</v>
      </c>
      <c r="E97">
        <f t="shared" si="40"/>
        <v>2276</v>
      </c>
      <c r="F97" s="1">
        <v>1.68</v>
      </c>
      <c r="G97" s="1">
        <f t="shared" si="41"/>
        <v>1354.7619047619048</v>
      </c>
    </row>
    <row r="98" spans="1:7" hidden="1" x14ac:dyDescent="0.2">
      <c r="A98" t="s">
        <v>101</v>
      </c>
      <c r="B98" t="s">
        <v>75</v>
      </c>
      <c r="C98">
        <v>5864</v>
      </c>
      <c r="D98">
        <v>6293</v>
      </c>
      <c r="E98">
        <f>C98+D98</f>
        <v>12157</v>
      </c>
      <c r="F98" s="1">
        <v>2.98</v>
      </c>
      <c r="G98" s="1">
        <f>E98/F98</f>
        <v>4079.530201342282</v>
      </c>
    </row>
    <row r="99" spans="1:7" hidden="1" x14ac:dyDescent="0.2">
      <c r="A99" t="s">
        <v>102</v>
      </c>
      <c r="B99" t="s">
        <v>72</v>
      </c>
      <c r="C99">
        <v>2127</v>
      </c>
      <c r="D99">
        <v>2140</v>
      </c>
      <c r="E99">
        <f>C99+D99</f>
        <v>4267</v>
      </c>
      <c r="F99" s="1">
        <v>1.8</v>
      </c>
      <c r="G99" s="1">
        <f>E99/F99</f>
        <v>2370.5555555555557</v>
      </c>
    </row>
    <row r="100" spans="1:7" hidden="1" x14ac:dyDescent="0.2">
      <c r="A100" t="s">
        <v>103</v>
      </c>
      <c r="B100" t="s">
        <v>75</v>
      </c>
      <c r="C100">
        <v>3085</v>
      </c>
      <c r="D100">
        <v>3519</v>
      </c>
      <c r="E100">
        <f>C100+D100</f>
        <v>6604</v>
      </c>
      <c r="F100" s="1">
        <v>2.09</v>
      </c>
      <c r="G100" s="1">
        <f>E100/F100</f>
        <v>3159.8086124401916</v>
      </c>
    </row>
    <row r="101" spans="1:7" hidden="1" x14ac:dyDescent="0.2">
      <c r="A101" t="s">
        <v>104</v>
      </c>
      <c r="B101" t="s">
        <v>72</v>
      </c>
      <c r="C101">
        <v>2493</v>
      </c>
      <c r="D101">
        <v>2359</v>
      </c>
      <c r="E101">
        <f>C101+D101</f>
        <v>4852</v>
      </c>
      <c r="F101" s="1">
        <v>2.12</v>
      </c>
      <c r="G101" s="1">
        <f>E101/F101</f>
        <v>2288.6792452830186</v>
      </c>
    </row>
    <row r="102" spans="1:7" hidden="1" x14ac:dyDescent="0.2">
      <c r="A102" t="s">
        <v>105</v>
      </c>
      <c r="B102" t="s">
        <v>75</v>
      </c>
      <c r="C102">
        <v>4080</v>
      </c>
      <c r="D102">
        <v>4435</v>
      </c>
      <c r="E102">
        <f>C102+D102</f>
        <v>8515</v>
      </c>
      <c r="F102" s="1">
        <v>2.5499999999999998</v>
      </c>
      <c r="G102" s="1">
        <f>E102/F102</f>
        <v>3339.2156862745101</v>
      </c>
    </row>
    <row r="103" spans="1:7" hidden="1" x14ac:dyDescent="0.2">
      <c r="A103" t="s">
        <v>106</v>
      </c>
      <c r="B103" t="s">
        <v>100</v>
      </c>
      <c r="C103">
        <v>1117</v>
      </c>
      <c r="D103">
        <v>1080</v>
      </c>
      <c r="E103">
        <f t="shared" ref="E103" si="42">C103+D103</f>
        <v>2197</v>
      </c>
      <c r="F103" s="1">
        <v>0.61</v>
      </c>
      <c r="G103" s="1">
        <f t="shared" ref="G103" si="43">E103/F103</f>
        <v>3601.6393442622953</v>
      </c>
    </row>
    <row r="104" spans="1:7" hidden="1" x14ac:dyDescent="0.2">
      <c r="A104" t="s">
        <v>107</v>
      </c>
      <c r="B104" t="s">
        <v>93</v>
      </c>
      <c r="C104">
        <v>2631</v>
      </c>
      <c r="D104">
        <v>2595</v>
      </c>
      <c r="E104">
        <f>C104+D104</f>
        <v>5226</v>
      </c>
      <c r="F104" s="1">
        <v>2.78</v>
      </c>
      <c r="G104" s="1">
        <f>E104/F104</f>
        <v>1879.8561151079139</v>
      </c>
    </row>
    <row r="105" spans="1:7" hidden="1" x14ac:dyDescent="0.2">
      <c r="A105" t="s">
        <v>108</v>
      </c>
      <c r="B105" t="s">
        <v>100</v>
      </c>
      <c r="C105">
        <v>1253</v>
      </c>
      <c r="D105">
        <v>1218</v>
      </c>
      <c r="E105">
        <f t="shared" ref="E105" si="44">C105+D105</f>
        <v>2471</v>
      </c>
      <c r="F105" s="1">
        <v>1.4</v>
      </c>
      <c r="G105" s="1">
        <f t="shared" ref="G105" si="45">E105/F105</f>
        <v>1765</v>
      </c>
    </row>
    <row r="106" spans="1:7" hidden="1" x14ac:dyDescent="0.2">
      <c r="A106" t="s">
        <v>109</v>
      </c>
      <c r="B106" t="s">
        <v>75</v>
      </c>
      <c r="C106">
        <v>2775</v>
      </c>
      <c r="D106">
        <v>2899</v>
      </c>
      <c r="E106">
        <f t="shared" ref="E106:E112" si="46">C106+D106</f>
        <v>5674</v>
      </c>
      <c r="F106" s="1">
        <v>2.09</v>
      </c>
      <c r="G106" s="1">
        <f t="shared" ref="G106:G112" si="47">E106/F106</f>
        <v>2714.8325358851675</v>
      </c>
    </row>
    <row r="107" spans="1:7" hidden="1" x14ac:dyDescent="0.2">
      <c r="A107" t="s">
        <v>110</v>
      </c>
      <c r="B107" t="s">
        <v>72</v>
      </c>
      <c r="C107">
        <v>3127</v>
      </c>
      <c r="D107">
        <v>3128</v>
      </c>
      <c r="E107">
        <f t="shared" si="46"/>
        <v>6255</v>
      </c>
      <c r="F107" s="1">
        <v>3.21</v>
      </c>
      <c r="G107" s="1">
        <f t="shared" si="47"/>
        <v>1948.5981308411215</v>
      </c>
    </row>
    <row r="108" spans="1:7" hidden="1" x14ac:dyDescent="0.2">
      <c r="A108" t="s">
        <v>111</v>
      </c>
      <c r="B108" t="s">
        <v>56</v>
      </c>
      <c r="C108">
        <v>1957</v>
      </c>
      <c r="D108">
        <v>2020</v>
      </c>
      <c r="E108">
        <f t="shared" si="46"/>
        <v>3977</v>
      </c>
      <c r="F108" s="1">
        <v>5.66</v>
      </c>
      <c r="G108" s="1">
        <f t="shared" si="47"/>
        <v>702.65017667844518</v>
      </c>
    </row>
    <row r="109" spans="1:7" hidden="1" x14ac:dyDescent="0.2">
      <c r="A109" t="s">
        <v>112</v>
      </c>
      <c r="B109" t="s">
        <v>75</v>
      </c>
      <c r="C109">
        <v>7900</v>
      </c>
      <c r="D109">
        <v>9617</v>
      </c>
      <c r="E109">
        <f t="shared" si="46"/>
        <v>17517</v>
      </c>
      <c r="F109" s="1">
        <v>5.01</v>
      </c>
      <c r="G109" s="1">
        <f t="shared" si="47"/>
        <v>3496.4071856287428</v>
      </c>
    </row>
    <row r="110" spans="1:7" hidden="1" x14ac:dyDescent="0.2">
      <c r="A110" t="s">
        <v>113</v>
      </c>
      <c r="B110" t="s">
        <v>93</v>
      </c>
      <c r="C110">
        <v>2068</v>
      </c>
      <c r="D110">
        <v>2088</v>
      </c>
      <c r="E110">
        <f t="shared" si="46"/>
        <v>4156</v>
      </c>
      <c r="F110" s="1">
        <v>1.91</v>
      </c>
      <c r="G110" s="1">
        <f t="shared" si="47"/>
        <v>2175.9162303664921</v>
      </c>
    </row>
    <row r="111" spans="1:7" hidden="1" x14ac:dyDescent="0.2">
      <c r="A111" t="s">
        <v>114</v>
      </c>
      <c r="B111" t="s">
        <v>75</v>
      </c>
      <c r="C111">
        <v>3081</v>
      </c>
      <c r="D111">
        <v>3074</v>
      </c>
      <c r="E111">
        <f t="shared" si="46"/>
        <v>6155</v>
      </c>
      <c r="F111" s="1">
        <v>1.94</v>
      </c>
      <c r="G111" s="1">
        <f t="shared" si="47"/>
        <v>3172.680412371134</v>
      </c>
    </row>
    <row r="112" spans="1:7" hidden="1" x14ac:dyDescent="0.2">
      <c r="A112" t="s">
        <v>115</v>
      </c>
      <c r="B112" t="s">
        <v>72</v>
      </c>
      <c r="C112">
        <v>3518</v>
      </c>
      <c r="D112">
        <v>3490</v>
      </c>
      <c r="E112">
        <f t="shared" si="46"/>
        <v>7008</v>
      </c>
      <c r="F112" s="1">
        <v>2.2200000000000002</v>
      </c>
      <c r="G112" s="1">
        <f t="shared" si="47"/>
        <v>3156.7567567567567</v>
      </c>
    </row>
    <row r="113" spans="1:7" hidden="1" x14ac:dyDescent="0.2">
      <c r="A113" t="s">
        <v>116</v>
      </c>
      <c r="B113" t="s">
        <v>100</v>
      </c>
      <c r="C113">
        <v>4174</v>
      </c>
      <c r="D113">
        <v>4259</v>
      </c>
      <c r="E113">
        <f t="shared" ref="E113:E114" si="48">C113+D113</f>
        <v>8433</v>
      </c>
      <c r="F113" s="1">
        <v>1.96</v>
      </c>
      <c r="G113" s="1">
        <f t="shared" ref="G113:G114" si="49">E113/F113</f>
        <v>4302.5510204081629</v>
      </c>
    </row>
    <row r="114" spans="1:7" hidden="1" x14ac:dyDescent="0.2">
      <c r="A114" t="s">
        <v>117</v>
      </c>
      <c r="B114" t="s">
        <v>100</v>
      </c>
      <c r="C114">
        <v>1989</v>
      </c>
      <c r="D114">
        <v>2152</v>
      </c>
      <c r="E114">
        <f t="shared" si="48"/>
        <v>4141</v>
      </c>
      <c r="F114" s="1">
        <v>1.29</v>
      </c>
      <c r="G114" s="1">
        <f t="shared" si="49"/>
        <v>3210.0775193798449</v>
      </c>
    </row>
    <row r="115" spans="1:7" hidden="1" x14ac:dyDescent="0.2">
      <c r="A115" t="s">
        <v>118</v>
      </c>
      <c r="B115" t="s">
        <v>93</v>
      </c>
      <c r="C115">
        <v>3839</v>
      </c>
      <c r="D115">
        <v>3773</v>
      </c>
      <c r="E115">
        <f>C115+D115</f>
        <v>7612</v>
      </c>
      <c r="F115" s="1">
        <v>3.54</v>
      </c>
      <c r="G115" s="1">
        <f>E115/F115</f>
        <v>2150.2824858757062</v>
      </c>
    </row>
    <row r="116" spans="1:7" hidden="1" x14ac:dyDescent="0.2">
      <c r="A116" t="s">
        <v>119</v>
      </c>
      <c r="B116" t="s">
        <v>100</v>
      </c>
      <c r="C116">
        <v>1568</v>
      </c>
      <c r="D116">
        <v>1600</v>
      </c>
      <c r="E116">
        <f t="shared" ref="E116:E117" si="50">C116+D116</f>
        <v>3168</v>
      </c>
      <c r="F116" s="1">
        <v>0.89</v>
      </c>
      <c r="G116" s="1">
        <f t="shared" ref="G116:G117" si="51">E116/F116</f>
        <v>3559.5505617977528</v>
      </c>
    </row>
    <row r="117" spans="1:7" hidden="1" x14ac:dyDescent="0.2">
      <c r="A117" t="s">
        <v>120</v>
      </c>
      <c r="B117" t="s">
        <v>72</v>
      </c>
      <c r="C117">
        <v>1464</v>
      </c>
      <c r="D117">
        <v>1467</v>
      </c>
      <c r="E117">
        <f t="shared" si="50"/>
        <v>2931</v>
      </c>
      <c r="F117" s="1">
        <v>1</v>
      </c>
      <c r="G117" s="1">
        <f t="shared" si="51"/>
        <v>2931</v>
      </c>
    </row>
    <row r="118" spans="1:7" hidden="1" x14ac:dyDescent="0.2">
      <c r="A118" t="s">
        <v>121</v>
      </c>
      <c r="B118" t="s">
        <v>100</v>
      </c>
      <c r="C118">
        <v>1247</v>
      </c>
      <c r="D118">
        <v>1249</v>
      </c>
      <c r="E118">
        <f t="shared" ref="E118" si="52">C118+D118</f>
        <v>2496</v>
      </c>
      <c r="F118" s="1">
        <v>2.74</v>
      </c>
      <c r="G118" s="1">
        <f t="shared" ref="G118" si="53">E118/F118</f>
        <v>910.94890510948903</v>
      </c>
    </row>
    <row r="119" spans="1:7" hidden="1" x14ac:dyDescent="0.2">
      <c r="A119" t="s">
        <v>122</v>
      </c>
      <c r="B119" t="s">
        <v>56</v>
      </c>
      <c r="C119">
        <v>1575</v>
      </c>
      <c r="D119">
        <v>1540</v>
      </c>
      <c r="E119">
        <f t="shared" ref="E119:E125" si="54">C119+D119</f>
        <v>3115</v>
      </c>
      <c r="F119" s="1">
        <v>6.41</v>
      </c>
      <c r="G119" s="1">
        <f t="shared" ref="G119:G125" si="55">E119/F119</f>
        <v>485.95943837753509</v>
      </c>
    </row>
    <row r="120" spans="1:7" hidden="1" x14ac:dyDescent="0.2">
      <c r="A120" t="s">
        <v>123</v>
      </c>
      <c r="B120" t="s">
        <v>75</v>
      </c>
      <c r="C120">
        <v>5421</v>
      </c>
      <c r="D120">
        <v>5943</v>
      </c>
      <c r="E120">
        <f t="shared" si="54"/>
        <v>11364</v>
      </c>
      <c r="F120" s="1">
        <v>1.97</v>
      </c>
      <c r="G120" s="1">
        <f t="shared" si="55"/>
        <v>5768.5279187817259</v>
      </c>
    </row>
    <row r="121" spans="1:7" hidden="1" x14ac:dyDescent="0.2">
      <c r="A121" t="s">
        <v>124</v>
      </c>
      <c r="B121" t="s">
        <v>93</v>
      </c>
      <c r="C121">
        <v>2861</v>
      </c>
      <c r="D121">
        <v>2972</v>
      </c>
      <c r="E121">
        <f t="shared" si="54"/>
        <v>5833</v>
      </c>
      <c r="F121" s="1">
        <v>1.81</v>
      </c>
      <c r="G121" s="1">
        <f t="shared" si="55"/>
        <v>3222.6519337016575</v>
      </c>
    </row>
    <row r="122" spans="1:7" hidden="1" x14ac:dyDescent="0.2">
      <c r="A122" t="s">
        <v>125</v>
      </c>
      <c r="B122" t="s">
        <v>126</v>
      </c>
      <c r="C122">
        <v>1368</v>
      </c>
      <c r="D122">
        <v>1397</v>
      </c>
      <c r="E122">
        <f t="shared" si="54"/>
        <v>2765</v>
      </c>
      <c r="F122" s="1">
        <v>2.41</v>
      </c>
      <c r="G122" s="1">
        <f t="shared" si="55"/>
        <v>1147.3029045643152</v>
      </c>
    </row>
    <row r="123" spans="1:7" hidden="1" x14ac:dyDescent="0.2">
      <c r="A123" t="s">
        <v>127</v>
      </c>
      <c r="B123" t="s">
        <v>126</v>
      </c>
      <c r="C123">
        <v>2193</v>
      </c>
      <c r="D123">
        <v>2221</v>
      </c>
      <c r="E123">
        <f t="shared" si="54"/>
        <v>4414</v>
      </c>
      <c r="F123" s="1">
        <v>1.57</v>
      </c>
      <c r="G123" s="1">
        <f t="shared" si="55"/>
        <v>2811.4649681528663</v>
      </c>
    </row>
    <row r="124" spans="1:7" hidden="1" x14ac:dyDescent="0.2">
      <c r="A124" t="s">
        <v>128</v>
      </c>
      <c r="B124" t="s">
        <v>93</v>
      </c>
      <c r="C124">
        <v>1272</v>
      </c>
      <c r="D124">
        <v>1350</v>
      </c>
      <c r="E124">
        <f t="shared" si="54"/>
        <v>2622</v>
      </c>
      <c r="F124" s="1">
        <v>1.36</v>
      </c>
      <c r="G124" s="1">
        <f t="shared" si="55"/>
        <v>1927.9411764705881</v>
      </c>
    </row>
    <row r="125" spans="1:7" hidden="1" x14ac:dyDescent="0.2">
      <c r="A125" t="s">
        <v>129</v>
      </c>
      <c r="B125" t="s">
        <v>126</v>
      </c>
      <c r="C125">
        <v>1348</v>
      </c>
      <c r="D125">
        <v>1340</v>
      </c>
      <c r="E125">
        <f t="shared" si="54"/>
        <v>2688</v>
      </c>
      <c r="F125" s="1">
        <v>1.87</v>
      </c>
      <c r="G125" s="1">
        <f t="shared" si="55"/>
        <v>1437.4331550802137</v>
      </c>
    </row>
    <row r="126" spans="1:7" hidden="1" x14ac:dyDescent="0.2">
      <c r="A126" t="s">
        <v>130</v>
      </c>
      <c r="B126" t="s">
        <v>100</v>
      </c>
      <c r="C126">
        <v>1979</v>
      </c>
      <c r="D126">
        <v>2139</v>
      </c>
      <c r="E126">
        <f t="shared" ref="E126:E127" si="56">C126+D126</f>
        <v>4118</v>
      </c>
      <c r="F126" s="1">
        <v>1.92</v>
      </c>
      <c r="G126" s="1">
        <f t="shared" ref="G126:G127" si="57">E126/F126</f>
        <v>2144.791666666667</v>
      </c>
    </row>
    <row r="127" spans="1:7" hidden="1" x14ac:dyDescent="0.2">
      <c r="A127" t="s">
        <v>131</v>
      </c>
      <c r="B127" t="s">
        <v>72</v>
      </c>
      <c r="C127">
        <v>3263</v>
      </c>
      <c r="D127">
        <v>3202</v>
      </c>
      <c r="E127">
        <f t="shared" si="56"/>
        <v>6465</v>
      </c>
      <c r="F127" s="1">
        <v>2.93</v>
      </c>
      <c r="G127" s="1">
        <f t="shared" si="57"/>
        <v>2206.4846416382252</v>
      </c>
    </row>
    <row r="128" spans="1:7" hidden="1" x14ac:dyDescent="0.2">
      <c r="A128" t="s">
        <v>132</v>
      </c>
      <c r="B128" t="s">
        <v>93</v>
      </c>
      <c r="C128">
        <v>3042</v>
      </c>
      <c r="D128">
        <v>3142</v>
      </c>
      <c r="E128">
        <f t="shared" ref="E128:E133" si="58">C128+D128</f>
        <v>6184</v>
      </c>
      <c r="F128" s="1">
        <v>2.74</v>
      </c>
      <c r="G128" s="1">
        <f t="shared" ref="G128:G133" si="59">E128/F128</f>
        <v>2256.9343065693429</v>
      </c>
    </row>
    <row r="129" spans="1:7" hidden="1" x14ac:dyDescent="0.2">
      <c r="A129" t="s">
        <v>133</v>
      </c>
      <c r="B129" t="s">
        <v>126</v>
      </c>
      <c r="C129">
        <v>1115</v>
      </c>
      <c r="D129">
        <v>1066</v>
      </c>
      <c r="E129">
        <f t="shared" si="58"/>
        <v>2181</v>
      </c>
      <c r="F129" s="1">
        <v>2.57</v>
      </c>
      <c r="G129" s="1">
        <f t="shared" si="59"/>
        <v>848.63813229571986</v>
      </c>
    </row>
    <row r="130" spans="1:7" hidden="1" x14ac:dyDescent="0.2">
      <c r="A130" t="s">
        <v>134</v>
      </c>
      <c r="B130" t="s">
        <v>135</v>
      </c>
      <c r="C130">
        <v>7762</v>
      </c>
      <c r="D130">
        <v>7721</v>
      </c>
      <c r="E130">
        <f t="shared" si="58"/>
        <v>15483</v>
      </c>
      <c r="F130" s="1">
        <v>3.17</v>
      </c>
      <c r="G130" s="1">
        <f t="shared" si="59"/>
        <v>4884.2271293375397</v>
      </c>
    </row>
    <row r="131" spans="1:7" hidden="1" x14ac:dyDescent="0.2">
      <c r="A131" t="s">
        <v>136</v>
      </c>
      <c r="B131" t="s">
        <v>135</v>
      </c>
      <c r="C131">
        <v>7495</v>
      </c>
      <c r="D131">
        <v>7560</v>
      </c>
      <c r="E131">
        <f t="shared" si="58"/>
        <v>15055</v>
      </c>
      <c r="F131" s="1">
        <v>2.0299999999999998</v>
      </c>
      <c r="G131" s="1">
        <f t="shared" si="59"/>
        <v>7416.2561576354683</v>
      </c>
    </row>
    <row r="132" spans="1:7" hidden="1" x14ac:dyDescent="0.2">
      <c r="A132" t="s">
        <v>137</v>
      </c>
      <c r="B132" t="s">
        <v>72</v>
      </c>
      <c r="C132">
        <v>4008</v>
      </c>
      <c r="D132">
        <v>3932</v>
      </c>
      <c r="E132">
        <f t="shared" si="58"/>
        <v>7940</v>
      </c>
      <c r="F132" s="1">
        <v>3.5</v>
      </c>
      <c r="G132" s="1">
        <f t="shared" si="59"/>
        <v>2268.5714285714284</v>
      </c>
    </row>
    <row r="133" spans="1:7" hidden="1" x14ac:dyDescent="0.2">
      <c r="A133" t="s">
        <v>138</v>
      </c>
      <c r="B133" t="s">
        <v>126</v>
      </c>
      <c r="C133">
        <v>2715</v>
      </c>
      <c r="D133">
        <v>2840</v>
      </c>
      <c r="E133">
        <f t="shared" si="58"/>
        <v>5555</v>
      </c>
      <c r="F133" s="1">
        <v>1.75</v>
      </c>
      <c r="G133" s="1">
        <f t="shared" si="59"/>
        <v>3174.2857142857142</v>
      </c>
    </row>
    <row r="134" spans="1:7" hidden="1" x14ac:dyDescent="0.2">
      <c r="A134" t="s">
        <v>139</v>
      </c>
      <c r="B134" t="s">
        <v>100</v>
      </c>
      <c r="C134">
        <v>3485</v>
      </c>
      <c r="D134">
        <v>3588</v>
      </c>
      <c r="E134">
        <f t="shared" ref="E134:E135" si="60">C134+D134</f>
        <v>7073</v>
      </c>
      <c r="F134" s="1">
        <v>2.0099999999999998</v>
      </c>
      <c r="G134" s="1">
        <f t="shared" ref="G134:G135" si="61">E134/F134</f>
        <v>3518.9054726368163</v>
      </c>
    </row>
    <row r="135" spans="1:7" hidden="1" x14ac:dyDescent="0.2">
      <c r="A135" t="s">
        <v>140</v>
      </c>
      <c r="B135" t="s">
        <v>72</v>
      </c>
      <c r="C135">
        <v>3130</v>
      </c>
      <c r="D135">
        <v>3070</v>
      </c>
      <c r="E135">
        <f t="shared" si="60"/>
        <v>6200</v>
      </c>
      <c r="F135" s="1">
        <v>3.43</v>
      </c>
      <c r="G135" s="1">
        <f t="shared" si="61"/>
        <v>1807.5801749271136</v>
      </c>
    </row>
    <row r="136" spans="1:7" hidden="1" x14ac:dyDescent="0.2">
      <c r="A136" t="s">
        <v>141</v>
      </c>
      <c r="B136" t="s">
        <v>135</v>
      </c>
      <c r="C136">
        <v>6274</v>
      </c>
      <c r="D136">
        <v>6322</v>
      </c>
      <c r="E136">
        <f>C136+D136</f>
        <v>12596</v>
      </c>
      <c r="F136" s="1">
        <v>0.97</v>
      </c>
      <c r="G136" s="1">
        <f>E136/F136</f>
        <v>12985.567010309278</v>
      </c>
    </row>
    <row r="137" spans="1:7" hidden="1" x14ac:dyDescent="0.2">
      <c r="A137" t="s">
        <v>142</v>
      </c>
      <c r="B137" t="s">
        <v>126</v>
      </c>
      <c r="C137">
        <v>2463</v>
      </c>
      <c r="D137">
        <v>2526</v>
      </c>
      <c r="E137">
        <f t="shared" ref="E137:E138" si="62">C137+D137</f>
        <v>4989</v>
      </c>
      <c r="F137" s="1">
        <v>1.58</v>
      </c>
      <c r="G137" s="1">
        <f t="shared" ref="G137:G138" si="63">E137/F137</f>
        <v>3157.5949367088606</v>
      </c>
    </row>
    <row r="138" spans="1:7" hidden="1" x14ac:dyDescent="0.2">
      <c r="A138" t="s">
        <v>143</v>
      </c>
      <c r="B138" t="s">
        <v>126</v>
      </c>
      <c r="C138">
        <v>949</v>
      </c>
      <c r="D138">
        <v>970</v>
      </c>
      <c r="E138">
        <f t="shared" si="62"/>
        <v>1919</v>
      </c>
      <c r="F138" s="1">
        <v>0.48</v>
      </c>
      <c r="G138" s="1">
        <f t="shared" si="63"/>
        <v>3997.916666666667</v>
      </c>
    </row>
    <row r="139" spans="1:7" hidden="1" x14ac:dyDescent="0.2">
      <c r="A139" t="s">
        <v>144</v>
      </c>
      <c r="B139" t="s">
        <v>56</v>
      </c>
      <c r="C139">
        <v>1611</v>
      </c>
      <c r="D139">
        <v>1701</v>
      </c>
      <c r="E139">
        <f>C139+D139</f>
        <v>3312</v>
      </c>
      <c r="F139" s="1">
        <v>8.0500000000000007</v>
      </c>
      <c r="G139" s="1">
        <f>E139/F139</f>
        <v>411.42857142857139</v>
      </c>
    </row>
    <row r="140" spans="1:7" hidden="1" x14ac:dyDescent="0.2">
      <c r="A140" t="s">
        <v>145</v>
      </c>
      <c r="B140" t="s">
        <v>126</v>
      </c>
      <c r="C140">
        <v>1186</v>
      </c>
      <c r="D140">
        <v>1200</v>
      </c>
      <c r="E140">
        <f t="shared" ref="E140:E141" si="64">C140+D140</f>
        <v>2386</v>
      </c>
      <c r="F140" s="1">
        <v>0.83</v>
      </c>
      <c r="G140" s="1">
        <f t="shared" ref="G140:G141" si="65">E140/F140</f>
        <v>2874.6987951807232</v>
      </c>
    </row>
    <row r="141" spans="1:7" hidden="1" x14ac:dyDescent="0.2">
      <c r="A141" t="s">
        <v>146</v>
      </c>
      <c r="B141" t="s">
        <v>126</v>
      </c>
      <c r="C141">
        <v>2637</v>
      </c>
      <c r="D141">
        <v>2730</v>
      </c>
      <c r="E141">
        <f t="shared" si="64"/>
        <v>5367</v>
      </c>
      <c r="F141" s="1">
        <v>3</v>
      </c>
      <c r="G141" s="1">
        <f t="shared" si="65"/>
        <v>1789</v>
      </c>
    </row>
    <row r="142" spans="1:7" hidden="1" x14ac:dyDescent="0.2">
      <c r="A142" t="s">
        <v>147</v>
      </c>
      <c r="B142" t="s">
        <v>135</v>
      </c>
      <c r="C142">
        <v>4330</v>
      </c>
      <c r="D142">
        <v>4321</v>
      </c>
      <c r="E142">
        <f>C142+D142</f>
        <v>8651</v>
      </c>
      <c r="F142" s="1">
        <v>5.39</v>
      </c>
      <c r="G142" s="1">
        <f>E142/F142</f>
        <v>1605.009276437848</v>
      </c>
    </row>
    <row r="143" spans="1:7" hidden="1" x14ac:dyDescent="0.2">
      <c r="A143" t="s">
        <v>148</v>
      </c>
      <c r="B143" t="s">
        <v>56</v>
      </c>
      <c r="C143">
        <v>3607</v>
      </c>
      <c r="D143">
        <v>3961</v>
      </c>
      <c r="E143">
        <f>C143+D143</f>
        <v>7568</v>
      </c>
      <c r="F143" s="1">
        <v>4.8</v>
      </c>
      <c r="G143" s="1">
        <f>E143/F143</f>
        <v>1576.6666666666667</v>
      </c>
    </row>
    <row r="144" spans="1:7" hidden="1" x14ac:dyDescent="0.2">
      <c r="A144" t="s">
        <v>149</v>
      </c>
      <c r="B144" t="s">
        <v>135</v>
      </c>
      <c r="C144">
        <v>7239</v>
      </c>
      <c r="D144">
        <v>7132</v>
      </c>
      <c r="E144">
        <f>C144+D144</f>
        <v>14371</v>
      </c>
      <c r="F144" s="1">
        <v>2.96</v>
      </c>
      <c r="G144" s="1">
        <f>E144/F144</f>
        <v>4855.0675675675675</v>
      </c>
    </row>
    <row r="145" spans="1:7" x14ac:dyDescent="0.2">
      <c r="A145" t="s">
        <v>150</v>
      </c>
      <c r="B145" t="s">
        <v>151</v>
      </c>
      <c r="C145">
        <v>2593</v>
      </c>
      <c r="D145">
        <v>2753</v>
      </c>
      <c r="E145">
        <f>C145+D145</f>
        <v>5346</v>
      </c>
      <c r="F145" s="1">
        <v>13.03</v>
      </c>
      <c r="G145" s="1">
        <f>E145/F145</f>
        <v>410.28396009209519</v>
      </c>
    </row>
    <row r="146" spans="1:7" hidden="1" x14ac:dyDescent="0.2">
      <c r="A146" t="s">
        <v>152</v>
      </c>
      <c r="B146" t="s">
        <v>135</v>
      </c>
      <c r="C146">
        <v>4483</v>
      </c>
      <c r="D146">
        <v>4576</v>
      </c>
      <c r="E146">
        <f t="shared" ref="E146:E150" si="66">C146+D146</f>
        <v>9059</v>
      </c>
      <c r="F146" s="1">
        <v>3.24</v>
      </c>
      <c r="G146" s="1">
        <f t="shared" ref="G146:G150" si="67">E146/F146</f>
        <v>2795.9876543209875</v>
      </c>
    </row>
    <row r="147" spans="1:7" hidden="1" x14ac:dyDescent="0.2">
      <c r="A147" t="s">
        <v>153</v>
      </c>
      <c r="B147" t="s">
        <v>135</v>
      </c>
      <c r="C147">
        <v>3520</v>
      </c>
      <c r="D147">
        <v>3434</v>
      </c>
      <c r="E147">
        <f t="shared" si="66"/>
        <v>6954</v>
      </c>
      <c r="F147" s="1">
        <v>1.6</v>
      </c>
      <c r="G147" s="1">
        <f t="shared" si="67"/>
        <v>4346.25</v>
      </c>
    </row>
    <row r="148" spans="1:7" hidden="1" x14ac:dyDescent="0.2">
      <c r="A148" t="s">
        <v>154</v>
      </c>
      <c r="B148" t="s">
        <v>126</v>
      </c>
      <c r="C148">
        <v>1351</v>
      </c>
      <c r="D148">
        <v>1407</v>
      </c>
      <c r="E148">
        <f t="shared" si="66"/>
        <v>2758</v>
      </c>
      <c r="F148" s="1">
        <v>0.8</v>
      </c>
      <c r="G148" s="1">
        <f t="shared" si="67"/>
        <v>3447.5</v>
      </c>
    </row>
    <row r="149" spans="1:7" hidden="1" x14ac:dyDescent="0.2">
      <c r="A149" t="s">
        <v>155</v>
      </c>
      <c r="B149" t="s">
        <v>126</v>
      </c>
      <c r="C149">
        <v>811</v>
      </c>
      <c r="D149">
        <v>841</v>
      </c>
      <c r="E149">
        <f t="shared" si="66"/>
        <v>1652</v>
      </c>
      <c r="F149" s="1">
        <v>1.95</v>
      </c>
      <c r="G149" s="1">
        <f t="shared" si="67"/>
        <v>847.17948717948718</v>
      </c>
    </row>
    <row r="150" spans="1:7" hidden="1" x14ac:dyDescent="0.2">
      <c r="A150" t="s">
        <v>156</v>
      </c>
      <c r="B150" t="s">
        <v>126</v>
      </c>
      <c r="C150">
        <v>2865</v>
      </c>
      <c r="D150">
        <v>2901</v>
      </c>
      <c r="E150">
        <f t="shared" si="66"/>
        <v>5766</v>
      </c>
      <c r="F150" s="1">
        <v>2.4700000000000002</v>
      </c>
      <c r="G150" s="1">
        <f t="shared" si="67"/>
        <v>2334.4129554655869</v>
      </c>
    </row>
    <row r="151" spans="1:7" hidden="1" x14ac:dyDescent="0.2">
      <c r="A151" t="s">
        <v>157</v>
      </c>
      <c r="B151" t="s">
        <v>158</v>
      </c>
      <c r="C151">
        <v>2600</v>
      </c>
      <c r="D151">
        <v>3117</v>
      </c>
      <c r="E151">
        <f t="shared" ref="E151:E158" si="68">C151+D151</f>
        <v>5717</v>
      </c>
      <c r="F151" s="1">
        <v>3.7</v>
      </c>
      <c r="G151" s="1">
        <f t="shared" ref="G151:G158" si="69">E151/F151</f>
        <v>1545.135135135135</v>
      </c>
    </row>
    <row r="152" spans="1:7" hidden="1" x14ac:dyDescent="0.2">
      <c r="A152" t="s">
        <v>159</v>
      </c>
      <c r="B152" t="s">
        <v>160</v>
      </c>
      <c r="C152">
        <v>3207</v>
      </c>
      <c r="D152">
        <v>3187</v>
      </c>
      <c r="E152">
        <f t="shared" si="68"/>
        <v>6394</v>
      </c>
      <c r="F152" s="1">
        <v>2.62</v>
      </c>
      <c r="G152" s="1">
        <f t="shared" si="69"/>
        <v>2440.4580152671756</v>
      </c>
    </row>
    <row r="153" spans="1:7" hidden="1" x14ac:dyDescent="0.2">
      <c r="A153" t="s">
        <v>161</v>
      </c>
      <c r="B153" t="s">
        <v>93</v>
      </c>
      <c r="C153">
        <v>3191</v>
      </c>
      <c r="D153">
        <v>3074</v>
      </c>
      <c r="E153">
        <f t="shared" si="68"/>
        <v>6265</v>
      </c>
      <c r="F153" s="1">
        <v>3.93</v>
      </c>
      <c r="G153" s="1">
        <f t="shared" si="69"/>
        <v>1594.147582697201</v>
      </c>
    </row>
    <row r="154" spans="1:7" x14ac:dyDescent="0.2">
      <c r="A154" t="s">
        <v>162</v>
      </c>
      <c r="B154" t="s">
        <v>151</v>
      </c>
      <c r="C154">
        <v>1456</v>
      </c>
      <c r="D154">
        <v>1517</v>
      </c>
      <c r="E154">
        <f t="shared" si="68"/>
        <v>2973</v>
      </c>
      <c r="F154" s="1">
        <v>3.62</v>
      </c>
      <c r="G154" s="1">
        <f t="shared" si="69"/>
        <v>821.27071823204415</v>
      </c>
    </row>
    <row r="155" spans="1:7" hidden="1" x14ac:dyDescent="0.2">
      <c r="A155" t="s">
        <v>163</v>
      </c>
      <c r="B155" t="s">
        <v>56</v>
      </c>
      <c r="C155">
        <v>3508</v>
      </c>
      <c r="D155">
        <v>3478</v>
      </c>
      <c r="E155">
        <f t="shared" si="68"/>
        <v>6986</v>
      </c>
      <c r="F155" s="1">
        <v>3.77</v>
      </c>
      <c r="G155" s="1">
        <f t="shared" si="69"/>
        <v>1853.0503978779841</v>
      </c>
    </row>
    <row r="156" spans="1:7" hidden="1" x14ac:dyDescent="0.2">
      <c r="A156" t="s">
        <v>164</v>
      </c>
      <c r="B156" t="s">
        <v>93</v>
      </c>
      <c r="C156">
        <v>3356</v>
      </c>
      <c r="D156">
        <v>3464</v>
      </c>
      <c r="E156">
        <f t="shared" si="68"/>
        <v>6820</v>
      </c>
      <c r="F156" s="1">
        <v>2.89</v>
      </c>
      <c r="G156" s="1">
        <f t="shared" si="69"/>
        <v>2359.8615916955018</v>
      </c>
    </row>
    <row r="157" spans="1:7" hidden="1" x14ac:dyDescent="0.2">
      <c r="A157" t="s">
        <v>165</v>
      </c>
      <c r="B157" t="s">
        <v>72</v>
      </c>
      <c r="C157">
        <v>3279</v>
      </c>
      <c r="D157">
        <v>3207</v>
      </c>
      <c r="E157">
        <f t="shared" si="68"/>
        <v>6486</v>
      </c>
      <c r="F157" s="1">
        <v>3.98</v>
      </c>
      <c r="G157" s="1">
        <f t="shared" si="69"/>
        <v>1629.6482412060302</v>
      </c>
    </row>
    <row r="158" spans="1:7" x14ac:dyDescent="0.2">
      <c r="A158" t="s">
        <v>166</v>
      </c>
      <c r="B158" t="s">
        <v>151</v>
      </c>
      <c r="C158">
        <v>1547</v>
      </c>
      <c r="D158">
        <v>1676</v>
      </c>
      <c r="E158">
        <f t="shared" si="68"/>
        <v>3223</v>
      </c>
      <c r="F158" s="1">
        <v>2.72</v>
      </c>
      <c r="G158" s="1">
        <f t="shared" si="69"/>
        <v>1184.9264705882351</v>
      </c>
    </row>
    <row r="159" spans="1:7" hidden="1" x14ac:dyDescent="0.2">
      <c r="A159" t="s">
        <v>167</v>
      </c>
      <c r="B159" t="s">
        <v>126</v>
      </c>
      <c r="C159">
        <v>4198</v>
      </c>
      <c r="D159">
        <v>4611</v>
      </c>
      <c r="E159">
        <f t="shared" ref="E159:E161" si="70">C159+D159</f>
        <v>8809</v>
      </c>
      <c r="F159" s="1">
        <v>0.4</v>
      </c>
      <c r="G159" s="1">
        <f t="shared" ref="G159:G161" si="71">E159/F159</f>
        <v>22022.5</v>
      </c>
    </row>
    <row r="160" spans="1:7" hidden="1" x14ac:dyDescent="0.2">
      <c r="A160" t="s">
        <v>168</v>
      </c>
      <c r="B160" t="s">
        <v>126</v>
      </c>
      <c r="C160">
        <v>5827</v>
      </c>
      <c r="D160">
        <v>5960</v>
      </c>
      <c r="E160">
        <f t="shared" si="70"/>
        <v>11787</v>
      </c>
      <c r="F160" s="1">
        <v>1.63</v>
      </c>
      <c r="G160" s="1">
        <f t="shared" si="71"/>
        <v>7231.2883435582826</v>
      </c>
    </row>
    <row r="161" spans="1:7" hidden="1" x14ac:dyDescent="0.2">
      <c r="A161" t="s">
        <v>169</v>
      </c>
      <c r="B161" t="s">
        <v>170</v>
      </c>
      <c r="C161">
        <v>1042</v>
      </c>
      <c r="D161">
        <v>1029</v>
      </c>
      <c r="E161">
        <f t="shared" si="70"/>
        <v>2071</v>
      </c>
      <c r="F161" s="1">
        <v>0.31</v>
      </c>
      <c r="G161" s="1">
        <f t="shared" si="71"/>
        <v>6680.6451612903229</v>
      </c>
    </row>
    <row r="162" spans="1:7" hidden="1" x14ac:dyDescent="0.2">
      <c r="A162" t="s">
        <v>171</v>
      </c>
      <c r="B162" t="s">
        <v>172</v>
      </c>
      <c r="C162">
        <v>1623</v>
      </c>
      <c r="D162">
        <v>1657</v>
      </c>
      <c r="E162">
        <f>C162+D162</f>
        <v>3280</v>
      </c>
      <c r="F162" s="1">
        <v>2.6</v>
      </c>
      <c r="G162" s="1">
        <f>E162/F162</f>
        <v>1261.5384615384614</v>
      </c>
    </row>
    <row r="163" spans="1:7" hidden="1" x14ac:dyDescent="0.2">
      <c r="A163" t="s">
        <v>173</v>
      </c>
      <c r="B163" t="s">
        <v>170</v>
      </c>
      <c r="C163">
        <v>1934</v>
      </c>
      <c r="D163">
        <v>1870</v>
      </c>
      <c r="E163">
        <f>C163+D163</f>
        <v>3804</v>
      </c>
      <c r="F163" s="1">
        <v>0.71</v>
      </c>
      <c r="G163" s="1">
        <f>E163/F163</f>
        <v>5357.7464788732395</v>
      </c>
    </row>
    <row r="164" spans="1:7" x14ac:dyDescent="0.2">
      <c r="A164" t="s">
        <v>174</v>
      </c>
      <c r="B164" t="s">
        <v>151</v>
      </c>
      <c r="C164">
        <v>2770</v>
      </c>
      <c r="D164">
        <v>2865</v>
      </c>
      <c r="E164">
        <f t="shared" ref="E164:E165" si="72">C164+D164</f>
        <v>5635</v>
      </c>
      <c r="F164" s="1">
        <v>2.95</v>
      </c>
      <c r="G164" s="1">
        <f t="shared" ref="G164:G165" si="73">E164/F164</f>
        <v>1910.1694915254236</v>
      </c>
    </row>
    <row r="165" spans="1:7" x14ac:dyDescent="0.2">
      <c r="A165" t="s">
        <v>175</v>
      </c>
      <c r="B165" t="s">
        <v>151</v>
      </c>
      <c r="C165">
        <v>1109</v>
      </c>
      <c r="D165">
        <v>1346</v>
      </c>
      <c r="E165">
        <f t="shared" si="72"/>
        <v>2455</v>
      </c>
      <c r="F165" s="1">
        <v>1.62</v>
      </c>
      <c r="G165" s="1">
        <f t="shared" si="73"/>
        <v>1515.4320987654321</v>
      </c>
    </row>
    <row r="166" spans="1:7" hidden="1" x14ac:dyDescent="0.2">
      <c r="A166" t="s">
        <v>176</v>
      </c>
      <c r="B166" t="s">
        <v>126</v>
      </c>
      <c r="C166">
        <v>810</v>
      </c>
      <c r="D166">
        <v>835</v>
      </c>
      <c r="E166">
        <f>C166+D166</f>
        <v>1645</v>
      </c>
      <c r="F166" s="1">
        <v>3.71</v>
      </c>
      <c r="G166" s="1">
        <f>E166/F166</f>
        <v>443.39622641509436</v>
      </c>
    </row>
    <row r="167" spans="1:7" hidden="1" x14ac:dyDescent="0.2">
      <c r="A167" t="s">
        <v>177</v>
      </c>
      <c r="B167" t="s">
        <v>160</v>
      </c>
      <c r="C167">
        <v>3843</v>
      </c>
      <c r="D167">
        <v>3948</v>
      </c>
      <c r="E167">
        <f>C167+D167</f>
        <v>7791</v>
      </c>
      <c r="F167" s="1">
        <v>4.16</v>
      </c>
      <c r="G167" s="1">
        <f>E167/F167</f>
        <v>1872.8365384615383</v>
      </c>
    </row>
    <row r="168" spans="1:7" hidden="1" x14ac:dyDescent="0.2">
      <c r="A168" t="s">
        <v>178</v>
      </c>
      <c r="B168" t="s">
        <v>135</v>
      </c>
      <c r="C168">
        <v>2662</v>
      </c>
      <c r="D168">
        <v>2643</v>
      </c>
      <c r="E168">
        <f>C168+D168</f>
        <v>5305</v>
      </c>
      <c r="F168" s="1">
        <v>1.67</v>
      </c>
      <c r="G168" s="1">
        <f>E168/F168</f>
        <v>3176.6467065868264</v>
      </c>
    </row>
    <row r="169" spans="1:7" x14ac:dyDescent="0.2">
      <c r="A169" t="s">
        <v>179</v>
      </c>
      <c r="B169" t="s">
        <v>151</v>
      </c>
      <c r="C169">
        <v>793</v>
      </c>
      <c r="D169">
        <v>1087</v>
      </c>
      <c r="E169">
        <f>C169+D169</f>
        <v>1880</v>
      </c>
      <c r="F169" s="1">
        <v>1.5</v>
      </c>
      <c r="G169" s="1">
        <f>E169/F169</f>
        <v>1253.3333333333333</v>
      </c>
    </row>
    <row r="170" spans="1:7" hidden="1" x14ac:dyDescent="0.2">
      <c r="A170" t="s">
        <v>180</v>
      </c>
      <c r="B170" t="s">
        <v>158</v>
      </c>
      <c r="C170">
        <v>3442</v>
      </c>
      <c r="D170">
        <v>4158</v>
      </c>
      <c r="E170">
        <f t="shared" ref="E170:E173" si="74">C170+D170</f>
        <v>7600</v>
      </c>
      <c r="F170" s="1">
        <v>3.93</v>
      </c>
      <c r="G170" s="1">
        <f t="shared" ref="G170:G173" si="75">E170/F170</f>
        <v>1933.8422391857505</v>
      </c>
    </row>
    <row r="171" spans="1:7" hidden="1" x14ac:dyDescent="0.2">
      <c r="A171" t="s">
        <v>181</v>
      </c>
      <c r="B171" t="s">
        <v>158</v>
      </c>
      <c r="C171">
        <v>1185</v>
      </c>
      <c r="D171">
        <v>1417</v>
      </c>
      <c r="E171">
        <f t="shared" si="74"/>
        <v>2602</v>
      </c>
      <c r="F171" s="1">
        <v>2.0499999999999998</v>
      </c>
      <c r="G171" s="1">
        <f t="shared" si="75"/>
        <v>1269.268292682927</v>
      </c>
    </row>
    <row r="172" spans="1:7" hidden="1" x14ac:dyDescent="0.2">
      <c r="A172" t="s">
        <v>182</v>
      </c>
      <c r="B172" t="s">
        <v>172</v>
      </c>
      <c r="C172">
        <v>1932</v>
      </c>
      <c r="D172">
        <v>1938</v>
      </c>
      <c r="E172">
        <f t="shared" si="74"/>
        <v>3870</v>
      </c>
      <c r="F172" s="1">
        <v>4.4000000000000004</v>
      </c>
      <c r="G172" s="1">
        <f t="shared" si="75"/>
        <v>879.5454545454545</v>
      </c>
    </row>
    <row r="173" spans="1:7" hidden="1" x14ac:dyDescent="0.2">
      <c r="A173" t="s">
        <v>183</v>
      </c>
      <c r="B173" t="s">
        <v>172</v>
      </c>
      <c r="C173">
        <v>1055</v>
      </c>
      <c r="D173">
        <v>1040</v>
      </c>
      <c r="E173">
        <f t="shared" si="74"/>
        <v>2095</v>
      </c>
      <c r="F173" s="1">
        <v>3.6</v>
      </c>
      <c r="G173" s="1">
        <f t="shared" si="75"/>
        <v>581.94444444444446</v>
      </c>
    </row>
    <row r="174" spans="1:7" x14ac:dyDescent="0.2">
      <c r="A174" t="s">
        <v>184</v>
      </c>
      <c r="B174" t="s">
        <v>151</v>
      </c>
      <c r="C174">
        <v>2921</v>
      </c>
      <c r="D174">
        <v>3048</v>
      </c>
      <c r="E174">
        <f t="shared" ref="E174:E180" si="76">C174+D174</f>
        <v>5969</v>
      </c>
      <c r="F174" s="1">
        <v>3.9</v>
      </c>
      <c r="G174" s="1">
        <f t="shared" ref="G174:G180" si="77">E174/F174</f>
        <v>1530.5128205128206</v>
      </c>
    </row>
    <row r="175" spans="1:7" hidden="1" x14ac:dyDescent="0.2">
      <c r="A175" t="s">
        <v>185</v>
      </c>
      <c r="B175" t="s">
        <v>170</v>
      </c>
      <c r="C175">
        <v>3061</v>
      </c>
      <c r="D175">
        <v>3204</v>
      </c>
      <c r="E175">
        <f t="shared" si="76"/>
        <v>6265</v>
      </c>
      <c r="F175" s="1">
        <v>1.94</v>
      </c>
      <c r="G175" s="1">
        <f t="shared" si="77"/>
        <v>3229.3814432989693</v>
      </c>
    </row>
    <row r="176" spans="1:7" x14ac:dyDescent="0.2">
      <c r="A176" t="s">
        <v>186</v>
      </c>
      <c r="B176" t="s">
        <v>151</v>
      </c>
      <c r="C176">
        <v>1731</v>
      </c>
      <c r="D176">
        <v>2117</v>
      </c>
      <c r="E176">
        <f t="shared" si="76"/>
        <v>3848</v>
      </c>
      <c r="F176" s="1">
        <v>2.5</v>
      </c>
      <c r="G176" s="1">
        <f t="shared" si="77"/>
        <v>1539.2</v>
      </c>
    </row>
    <row r="177" spans="1:7" hidden="1" x14ac:dyDescent="0.2">
      <c r="A177" t="s">
        <v>187</v>
      </c>
      <c r="B177" t="s">
        <v>135</v>
      </c>
      <c r="C177">
        <v>5400</v>
      </c>
      <c r="D177">
        <v>5398</v>
      </c>
      <c r="E177">
        <f t="shared" si="76"/>
        <v>10798</v>
      </c>
      <c r="F177" s="1">
        <v>5.7</v>
      </c>
      <c r="G177" s="1">
        <f t="shared" si="77"/>
        <v>1894.3859649122805</v>
      </c>
    </row>
    <row r="178" spans="1:7" hidden="1" x14ac:dyDescent="0.2">
      <c r="A178" t="s">
        <v>188</v>
      </c>
      <c r="B178" t="s">
        <v>160</v>
      </c>
      <c r="C178">
        <v>2878</v>
      </c>
      <c r="D178">
        <v>2981</v>
      </c>
      <c r="E178">
        <f t="shared" si="76"/>
        <v>5859</v>
      </c>
      <c r="F178" s="1">
        <v>3.46</v>
      </c>
      <c r="G178" s="1">
        <f t="shared" si="77"/>
        <v>1693.3526011560693</v>
      </c>
    </row>
    <row r="179" spans="1:7" x14ac:dyDescent="0.2">
      <c r="A179" t="s">
        <v>189</v>
      </c>
      <c r="B179" t="s">
        <v>151</v>
      </c>
      <c r="C179">
        <v>3139</v>
      </c>
      <c r="D179">
        <v>3969</v>
      </c>
      <c r="E179">
        <f t="shared" si="76"/>
        <v>7108</v>
      </c>
      <c r="F179" s="1">
        <v>2.25</v>
      </c>
      <c r="G179" s="1">
        <f t="shared" si="77"/>
        <v>3159.1111111111113</v>
      </c>
    </row>
    <row r="180" spans="1:7" hidden="1" x14ac:dyDescent="0.2">
      <c r="A180" t="s">
        <v>190</v>
      </c>
      <c r="B180" t="s">
        <v>170</v>
      </c>
      <c r="C180">
        <v>3664</v>
      </c>
      <c r="D180">
        <v>3822</v>
      </c>
      <c r="E180">
        <f t="shared" si="76"/>
        <v>7486</v>
      </c>
      <c r="F180" s="1">
        <v>2.78</v>
      </c>
      <c r="G180" s="1">
        <f t="shared" si="77"/>
        <v>2692.8057553956837</v>
      </c>
    </row>
    <row r="181" spans="1:7" hidden="1" x14ac:dyDescent="0.2">
      <c r="A181" t="s">
        <v>191</v>
      </c>
      <c r="B181" t="s">
        <v>172</v>
      </c>
      <c r="C181">
        <v>3321</v>
      </c>
      <c r="D181">
        <v>3445</v>
      </c>
      <c r="E181">
        <f t="shared" ref="E181:E182" si="78">C181+D181</f>
        <v>6766</v>
      </c>
      <c r="F181" s="1">
        <v>4.0999999999999996</v>
      </c>
      <c r="G181" s="1">
        <f t="shared" ref="G181:G182" si="79">E181/F181</f>
        <v>1650.2439024390246</v>
      </c>
    </row>
    <row r="182" spans="1:7" hidden="1" x14ac:dyDescent="0.2">
      <c r="A182" t="s">
        <v>192</v>
      </c>
      <c r="B182" t="s">
        <v>172</v>
      </c>
      <c r="C182">
        <v>2266</v>
      </c>
      <c r="D182">
        <v>2277</v>
      </c>
      <c r="E182">
        <f t="shared" si="78"/>
        <v>4543</v>
      </c>
      <c r="F182" s="1">
        <v>3.4</v>
      </c>
      <c r="G182" s="1">
        <f t="shared" si="79"/>
        <v>1336.1764705882354</v>
      </c>
    </row>
    <row r="183" spans="1:7" hidden="1" x14ac:dyDescent="0.2">
      <c r="A183" t="s">
        <v>193</v>
      </c>
      <c r="B183" t="s">
        <v>160</v>
      </c>
      <c r="C183">
        <v>1257</v>
      </c>
      <c r="D183">
        <v>1293</v>
      </c>
      <c r="E183">
        <f>C183+D183</f>
        <v>2550</v>
      </c>
      <c r="F183" s="1">
        <v>2.17</v>
      </c>
      <c r="G183" s="1">
        <f>E183/F183</f>
        <v>1175.1152073732719</v>
      </c>
    </row>
    <row r="184" spans="1:7" x14ac:dyDescent="0.2">
      <c r="A184" t="s">
        <v>194</v>
      </c>
      <c r="B184" t="s">
        <v>151</v>
      </c>
      <c r="C184">
        <v>940</v>
      </c>
      <c r="D184">
        <v>982</v>
      </c>
      <c r="E184">
        <f>C184+D184</f>
        <v>1922</v>
      </c>
      <c r="F184" s="1">
        <v>1.61</v>
      </c>
      <c r="G184" s="1">
        <f>E184/F184</f>
        <v>1193.7888198757764</v>
      </c>
    </row>
    <row r="185" spans="1:7" hidden="1" x14ac:dyDescent="0.2">
      <c r="A185" t="s">
        <v>195</v>
      </c>
      <c r="B185" t="s">
        <v>93</v>
      </c>
      <c r="C185">
        <v>6617</v>
      </c>
      <c r="D185">
        <v>6776</v>
      </c>
      <c r="E185">
        <f>C185+D185</f>
        <v>13393</v>
      </c>
      <c r="F185" s="1">
        <v>2.89</v>
      </c>
      <c r="G185" s="1">
        <f>E185/F185</f>
        <v>4634.256055363322</v>
      </c>
    </row>
    <row r="186" spans="1:7" hidden="1" x14ac:dyDescent="0.2">
      <c r="A186" t="s">
        <v>196</v>
      </c>
      <c r="B186" t="s">
        <v>172</v>
      </c>
      <c r="C186">
        <v>2467</v>
      </c>
      <c r="D186">
        <v>2649</v>
      </c>
      <c r="E186">
        <f>C186+D186</f>
        <v>5116</v>
      </c>
      <c r="F186" s="1">
        <v>1.05</v>
      </c>
      <c r="G186" s="1">
        <f>E186/F186</f>
        <v>4872.3809523809523</v>
      </c>
    </row>
    <row r="187" spans="1:7" x14ac:dyDescent="0.2">
      <c r="A187" t="s">
        <v>197</v>
      </c>
      <c r="B187" t="s">
        <v>151</v>
      </c>
      <c r="C187">
        <v>4387</v>
      </c>
      <c r="D187">
        <v>4513</v>
      </c>
      <c r="E187">
        <f t="shared" ref="E187:E190" si="80">C187+D187</f>
        <v>8900</v>
      </c>
      <c r="F187" s="1">
        <v>1.65</v>
      </c>
      <c r="G187" s="1">
        <f t="shared" ref="G187:G190" si="81">E187/F187</f>
        <v>5393.939393939394</v>
      </c>
    </row>
    <row r="188" spans="1:7" x14ac:dyDescent="0.2">
      <c r="A188" t="s">
        <v>198</v>
      </c>
      <c r="B188" t="s">
        <v>151</v>
      </c>
      <c r="C188">
        <v>1080</v>
      </c>
      <c r="D188">
        <v>1258</v>
      </c>
      <c r="E188">
        <f t="shared" si="80"/>
        <v>2338</v>
      </c>
      <c r="F188" s="1">
        <v>0.66</v>
      </c>
      <c r="G188" s="1">
        <f t="shared" si="81"/>
        <v>3542.424242424242</v>
      </c>
    </row>
    <row r="189" spans="1:7" hidden="1" x14ac:dyDescent="0.2">
      <c r="A189" t="s">
        <v>199</v>
      </c>
      <c r="B189" t="s">
        <v>172</v>
      </c>
      <c r="C189">
        <v>5989</v>
      </c>
      <c r="D189">
        <v>6095</v>
      </c>
      <c r="E189">
        <f t="shared" si="80"/>
        <v>12084</v>
      </c>
      <c r="F189" s="1">
        <v>3.6</v>
      </c>
      <c r="G189" s="1">
        <f t="shared" si="81"/>
        <v>3356.6666666666665</v>
      </c>
    </row>
    <row r="190" spans="1:7" hidden="1" x14ac:dyDescent="0.2">
      <c r="A190" t="s">
        <v>200</v>
      </c>
      <c r="B190" t="s">
        <v>172</v>
      </c>
      <c r="C190">
        <v>5398</v>
      </c>
      <c r="D190">
        <v>5601</v>
      </c>
      <c r="E190">
        <f t="shared" si="80"/>
        <v>10999</v>
      </c>
      <c r="F190" s="1">
        <v>4.9000000000000004</v>
      </c>
      <c r="G190" s="1">
        <f t="shared" si="81"/>
        <v>2244.6938775510203</v>
      </c>
    </row>
    <row r="191" spans="1:7" hidden="1" x14ac:dyDescent="0.2">
      <c r="A191" t="s">
        <v>201</v>
      </c>
      <c r="B191" t="s">
        <v>158</v>
      </c>
      <c r="C191">
        <v>1731</v>
      </c>
      <c r="D191">
        <v>2109</v>
      </c>
      <c r="E191">
        <f>C191+D191</f>
        <v>3840</v>
      </c>
      <c r="F191" s="1">
        <v>2.65</v>
      </c>
      <c r="G191" s="1">
        <f>E191/F191</f>
        <v>1449.056603773585</v>
      </c>
    </row>
    <row r="192" spans="1:7" hidden="1" x14ac:dyDescent="0.2">
      <c r="A192" t="s">
        <v>202</v>
      </c>
      <c r="B192" t="s">
        <v>160</v>
      </c>
      <c r="C192">
        <v>3488</v>
      </c>
      <c r="D192">
        <v>3490</v>
      </c>
      <c r="E192">
        <f t="shared" ref="E192:E193" si="82">C192+D192</f>
        <v>6978</v>
      </c>
      <c r="F192" s="1">
        <v>2.97</v>
      </c>
      <c r="G192" s="1">
        <f t="shared" ref="G192:G193" si="83">E192/F192</f>
        <v>2349.4949494949492</v>
      </c>
    </row>
    <row r="193" spans="1:7" hidden="1" x14ac:dyDescent="0.2">
      <c r="A193" t="s">
        <v>203</v>
      </c>
      <c r="B193" t="s">
        <v>160</v>
      </c>
      <c r="C193">
        <v>4133</v>
      </c>
      <c r="D193">
        <v>4192</v>
      </c>
      <c r="E193">
        <f t="shared" si="82"/>
        <v>8325</v>
      </c>
      <c r="F193" s="1">
        <v>3.61</v>
      </c>
      <c r="G193" s="1">
        <f t="shared" si="83"/>
        <v>2306.0941828254849</v>
      </c>
    </row>
    <row r="194" spans="1:7" x14ac:dyDescent="0.2">
      <c r="A194" t="s">
        <v>204</v>
      </c>
      <c r="B194" t="s">
        <v>151</v>
      </c>
      <c r="C194">
        <v>2084</v>
      </c>
      <c r="D194">
        <v>2344</v>
      </c>
      <c r="E194">
        <f>C194+D194</f>
        <v>4428</v>
      </c>
      <c r="F194" s="1">
        <v>2.0099999999999998</v>
      </c>
      <c r="G194" s="1">
        <f>E194/F194</f>
        <v>2202.9850746268658</v>
      </c>
    </row>
    <row r="195" spans="1:7" hidden="1" x14ac:dyDescent="0.2">
      <c r="A195" t="s">
        <v>205</v>
      </c>
      <c r="B195" t="s">
        <v>170</v>
      </c>
      <c r="C195">
        <v>4999</v>
      </c>
      <c r="D195">
        <v>5061</v>
      </c>
      <c r="E195">
        <f>C195+D195</f>
        <v>10060</v>
      </c>
      <c r="F195" s="1">
        <v>2.5299999999999998</v>
      </c>
      <c r="G195" s="1">
        <f>E195/F195</f>
        <v>3976.2845849802375</v>
      </c>
    </row>
    <row r="196" spans="1:7" x14ac:dyDescent="0.2">
      <c r="A196" t="s">
        <v>206</v>
      </c>
      <c r="B196" t="s">
        <v>151</v>
      </c>
      <c r="C196">
        <v>1404</v>
      </c>
      <c r="D196">
        <v>1424</v>
      </c>
      <c r="E196">
        <f t="shared" ref="E196:E198" si="84">C196+D196</f>
        <v>2828</v>
      </c>
      <c r="F196" s="1">
        <v>0.7</v>
      </c>
      <c r="G196" s="1">
        <f t="shared" ref="G196:G198" si="85">E196/F196</f>
        <v>4040.0000000000005</v>
      </c>
    </row>
    <row r="197" spans="1:7" x14ac:dyDescent="0.2">
      <c r="A197" t="s">
        <v>207</v>
      </c>
      <c r="B197" t="s">
        <v>151</v>
      </c>
      <c r="C197">
        <v>1149</v>
      </c>
      <c r="D197">
        <v>1218</v>
      </c>
      <c r="E197">
        <f t="shared" si="84"/>
        <v>2367</v>
      </c>
      <c r="F197" s="1">
        <v>1.28</v>
      </c>
      <c r="G197" s="1">
        <f t="shared" si="85"/>
        <v>1849.21875</v>
      </c>
    </row>
    <row r="198" spans="1:7" hidden="1" x14ac:dyDescent="0.2">
      <c r="A198" t="s">
        <v>208</v>
      </c>
      <c r="B198" t="s">
        <v>170</v>
      </c>
      <c r="C198">
        <v>3415</v>
      </c>
      <c r="D198">
        <v>3518</v>
      </c>
      <c r="E198">
        <f t="shared" si="84"/>
        <v>6933</v>
      </c>
      <c r="F198" s="1">
        <v>1.29</v>
      </c>
      <c r="G198" s="1">
        <f t="shared" si="85"/>
        <v>5374.4186046511622</v>
      </c>
    </row>
    <row r="199" spans="1:7" x14ac:dyDescent="0.2">
      <c r="A199" t="s">
        <v>209</v>
      </c>
      <c r="B199" t="s">
        <v>151</v>
      </c>
      <c r="C199">
        <v>4374</v>
      </c>
      <c r="D199">
        <v>5078</v>
      </c>
      <c r="E199">
        <f>C199+D199</f>
        <v>9452</v>
      </c>
      <c r="F199" s="1">
        <v>1.56</v>
      </c>
      <c r="G199" s="1">
        <f>E199/F199</f>
        <v>6058.9743589743584</v>
      </c>
    </row>
    <row r="200" spans="1:7" hidden="1" x14ac:dyDescent="0.2">
      <c r="A200" t="s">
        <v>210</v>
      </c>
      <c r="B200" t="s">
        <v>172</v>
      </c>
      <c r="C200">
        <v>4843</v>
      </c>
      <c r="D200">
        <v>5074</v>
      </c>
      <c r="E200">
        <f>C200+D200</f>
        <v>9917</v>
      </c>
      <c r="F200" s="1">
        <v>6</v>
      </c>
      <c r="G200" s="1">
        <f>E200/F200</f>
        <v>1652.8333333333333</v>
      </c>
    </row>
    <row r="201" spans="1:7" x14ac:dyDescent="0.2">
      <c r="A201" t="s">
        <v>211</v>
      </c>
      <c r="B201" t="s">
        <v>151</v>
      </c>
      <c r="C201">
        <v>2021</v>
      </c>
      <c r="D201">
        <v>2132</v>
      </c>
      <c r="E201">
        <f t="shared" ref="E201:E202" si="86">C201+D201</f>
        <v>4153</v>
      </c>
      <c r="F201" s="1">
        <v>1.65</v>
      </c>
      <c r="G201" s="1">
        <f t="shared" ref="G201:G202" si="87">E201/F201</f>
        <v>2516.969696969697</v>
      </c>
    </row>
    <row r="202" spans="1:7" x14ac:dyDescent="0.2">
      <c r="A202" t="s">
        <v>212</v>
      </c>
      <c r="B202" t="s">
        <v>151</v>
      </c>
      <c r="C202">
        <v>2061</v>
      </c>
      <c r="D202">
        <v>2445</v>
      </c>
      <c r="E202">
        <f t="shared" si="86"/>
        <v>4506</v>
      </c>
      <c r="F202" s="1">
        <v>1.8</v>
      </c>
      <c r="G202" s="1">
        <f t="shared" si="87"/>
        <v>2503.3333333333335</v>
      </c>
    </row>
    <row r="203" spans="1:7" hidden="1" x14ac:dyDescent="0.2">
      <c r="A203" t="s">
        <v>213</v>
      </c>
      <c r="B203" t="s">
        <v>172</v>
      </c>
      <c r="C203">
        <v>1954</v>
      </c>
      <c r="D203">
        <v>2022</v>
      </c>
      <c r="E203">
        <f t="shared" ref="E203:E210" si="88">C203+D203</f>
        <v>3976</v>
      </c>
      <c r="F203" s="1">
        <v>4.3499999999999996</v>
      </c>
      <c r="G203" s="1">
        <f t="shared" ref="G203:G210" si="89">E203/F203</f>
        <v>914.02298850574721</v>
      </c>
    </row>
    <row r="204" spans="1:7" hidden="1" x14ac:dyDescent="0.2">
      <c r="A204" t="s">
        <v>214</v>
      </c>
      <c r="B204" t="s">
        <v>93</v>
      </c>
      <c r="C204">
        <v>844</v>
      </c>
      <c r="D204">
        <v>789</v>
      </c>
      <c r="E204">
        <f t="shared" si="88"/>
        <v>1633</v>
      </c>
      <c r="F204" s="1">
        <v>1.93</v>
      </c>
      <c r="G204" s="1">
        <f t="shared" si="89"/>
        <v>846.11398963730574</v>
      </c>
    </row>
    <row r="205" spans="1:7" hidden="1" x14ac:dyDescent="0.2">
      <c r="A205" t="s">
        <v>215</v>
      </c>
      <c r="B205" t="s">
        <v>172</v>
      </c>
      <c r="C205">
        <v>8291</v>
      </c>
      <c r="D205">
        <v>8576</v>
      </c>
      <c r="E205">
        <f t="shared" si="88"/>
        <v>16867</v>
      </c>
      <c r="F205" s="1">
        <v>24.5</v>
      </c>
      <c r="G205" s="1">
        <f t="shared" si="89"/>
        <v>688.44897959183675</v>
      </c>
    </row>
    <row r="206" spans="1:7" hidden="1" x14ac:dyDescent="0.2">
      <c r="A206" t="s">
        <v>216</v>
      </c>
      <c r="B206" t="s">
        <v>170</v>
      </c>
      <c r="C206">
        <v>1020</v>
      </c>
      <c r="D206">
        <v>1027</v>
      </c>
      <c r="E206">
        <f t="shared" si="88"/>
        <v>2047</v>
      </c>
      <c r="F206" s="1">
        <v>2.91</v>
      </c>
      <c r="G206" s="1">
        <f t="shared" si="89"/>
        <v>703.43642611683845</v>
      </c>
    </row>
    <row r="207" spans="1:7" hidden="1" x14ac:dyDescent="0.2">
      <c r="A207" t="s">
        <v>217</v>
      </c>
      <c r="B207" t="s">
        <v>135</v>
      </c>
      <c r="C207">
        <v>4819</v>
      </c>
      <c r="D207">
        <v>4802</v>
      </c>
      <c r="E207">
        <f t="shared" si="88"/>
        <v>9621</v>
      </c>
      <c r="F207" s="1">
        <v>6.45</v>
      </c>
      <c r="G207" s="1">
        <f t="shared" si="89"/>
        <v>1491.627906976744</v>
      </c>
    </row>
    <row r="208" spans="1:7" hidden="1" x14ac:dyDescent="0.2">
      <c r="A208" t="s">
        <v>218</v>
      </c>
      <c r="B208" t="s">
        <v>158</v>
      </c>
      <c r="C208">
        <v>1925</v>
      </c>
      <c r="D208">
        <v>2304</v>
      </c>
      <c r="E208">
        <f t="shared" si="88"/>
        <v>4229</v>
      </c>
      <c r="F208" s="1">
        <v>4.5</v>
      </c>
      <c r="G208" s="1">
        <f t="shared" si="89"/>
        <v>939.77777777777783</v>
      </c>
    </row>
    <row r="209" spans="1:7" hidden="1" x14ac:dyDescent="0.2">
      <c r="A209" t="s">
        <v>219</v>
      </c>
      <c r="B209" t="s">
        <v>170</v>
      </c>
      <c r="C209">
        <v>4163</v>
      </c>
      <c r="D209">
        <v>4378</v>
      </c>
      <c r="E209">
        <f t="shared" si="88"/>
        <v>8541</v>
      </c>
      <c r="F209" s="1">
        <v>6.04</v>
      </c>
      <c r="G209" s="1">
        <f t="shared" si="89"/>
        <v>1414.0728476821191</v>
      </c>
    </row>
    <row r="210" spans="1:7" hidden="1" x14ac:dyDescent="0.2">
      <c r="A210" t="s">
        <v>220</v>
      </c>
      <c r="B210" t="s">
        <v>170</v>
      </c>
      <c r="C210">
        <v>774</v>
      </c>
      <c r="D210">
        <v>786</v>
      </c>
      <c r="E210">
        <f t="shared" si="88"/>
        <v>1560</v>
      </c>
      <c r="F210" s="1">
        <v>5.82</v>
      </c>
      <c r="G210" s="1">
        <f t="shared" si="89"/>
        <v>268.04123711340208</v>
      </c>
    </row>
    <row r="211" spans="1:7" x14ac:dyDescent="0.2">
      <c r="A211" t="s">
        <v>221</v>
      </c>
      <c r="B211" t="s">
        <v>151</v>
      </c>
      <c r="C211">
        <v>1203</v>
      </c>
      <c r="D211">
        <v>1488</v>
      </c>
      <c r="E211">
        <f t="shared" ref="E211:E212" si="90">C211+D211</f>
        <v>2691</v>
      </c>
      <c r="F211" s="1">
        <v>3.5</v>
      </c>
      <c r="G211" s="1">
        <f t="shared" ref="G211:G212" si="91">E211/F211</f>
        <v>768.85714285714289</v>
      </c>
    </row>
    <row r="212" spans="1:7" x14ac:dyDescent="0.2">
      <c r="A212" t="s">
        <v>222</v>
      </c>
      <c r="B212" t="s">
        <v>151</v>
      </c>
      <c r="C212">
        <v>2686</v>
      </c>
      <c r="D212">
        <v>2761</v>
      </c>
      <c r="E212">
        <f t="shared" si="90"/>
        <v>5447</v>
      </c>
      <c r="F212" s="1">
        <v>1.65</v>
      </c>
      <c r="G212" s="1">
        <f t="shared" si="91"/>
        <v>3301.2121212121215</v>
      </c>
    </row>
    <row r="213" spans="1:7" hidden="1" x14ac:dyDescent="0.2">
      <c r="A213" t="s">
        <v>223</v>
      </c>
      <c r="B213" t="s">
        <v>224</v>
      </c>
      <c r="C213">
        <v>3327</v>
      </c>
      <c r="D213">
        <v>3432</v>
      </c>
      <c r="E213">
        <f t="shared" ref="E213:E223" si="92">C213+D213</f>
        <v>6759</v>
      </c>
      <c r="F213" s="1">
        <v>7.72</v>
      </c>
      <c r="G213" s="1">
        <f t="shared" ref="G213:G223" si="93">E213/F213</f>
        <v>875.51813471502589</v>
      </c>
    </row>
    <row r="214" spans="1:7" hidden="1" x14ac:dyDescent="0.2">
      <c r="A214" t="s">
        <v>225</v>
      </c>
      <c r="B214" t="s">
        <v>170</v>
      </c>
      <c r="C214">
        <v>2034</v>
      </c>
      <c r="D214">
        <v>2057</v>
      </c>
      <c r="E214">
        <f t="shared" si="92"/>
        <v>4091</v>
      </c>
      <c r="F214" s="1">
        <v>3.16</v>
      </c>
      <c r="G214" s="1">
        <f t="shared" si="93"/>
        <v>1294.620253164557</v>
      </c>
    </row>
    <row r="215" spans="1:7" hidden="1" x14ac:dyDescent="0.2">
      <c r="A215" t="s">
        <v>226</v>
      </c>
      <c r="B215" t="s">
        <v>170</v>
      </c>
      <c r="C215">
        <v>821</v>
      </c>
      <c r="D215">
        <v>818</v>
      </c>
      <c r="E215">
        <f t="shared" si="92"/>
        <v>1639</v>
      </c>
      <c r="F215" s="1">
        <v>4.45</v>
      </c>
      <c r="G215" s="1">
        <f t="shared" si="93"/>
        <v>368.31460674157302</v>
      </c>
    </row>
    <row r="216" spans="1:7" hidden="1" x14ac:dyDescent="0.2">
      <c r="A216" t="s">
        <v>227</v>
      </c>
      <c r="B216" t="s">
        <v>93</v>
      </c>
      <c r="C216">
        <v>2558</v>
      </c>
      <c r="D216">
        <v>2525</v>
      </c>
      <c r="E216">
        <f t="shared" si="92"/>
        <v>5083</v>
      </c>
      <c r="F216" s="1">
        <v>1.93</v>
      </c>
      <c r="G216" s="1">
        <f t="shared" si="93"/>
        <v>2633.6787564766842</v>
      </c>
    </row>
    <row r="217" spans="1:7" hidden="1" x14ac:dyDescent="0.2">
      <c r="A217" t="s">
        <v>228</v>
      </c>
      <c r="B217" t="s">
        <v>160</v>
      </c>
      <c r="C217">
        <v>2332</v>
      </c>
      <c r="D217">
        <v>2209</v>
      </c>
      <c r="E217">
        <f t="shared" si="92"/>
        <v>4541</v>
      </c>
      <c r="F217" s="1">
        <v>5.07</v>
      </c>
      <c r="G217" s="1">
        <f t="shared" si="93"/>
        <v>895.66074950690336</v>
      </c>
    </row>
    <row r="218" spans="1:7" x14ac:dyDescent="0.2">
      <c r="A218" t="s">
        <v>229</v>
      </c>
      <c r="B218" t="s">
        <v>151</v>
      </c>
      <c r="C218">
        <v>2944</v>
      </c>
      <c r="D218">
        <v>3623</v>
      </c>
      <c r="E218">
        <f t="shared" si="92"/>
        <v>6567</v>
      </c>
      <c r="F218" s="1">
        <v>6.63</v>
      </c>
      <c r="G218" s="1">
        <f t="shared" si="93"/>
        <v>990.49773755656111</v>
      </c>
    </row>
    <row r="219" spans="1:7" hidden="1" x14ac:dyDescent="0.2">
      <c r="A219" t="s">
        <v>230</v>
      </c>
      <c r="B219" t="s">
        <v>170</v>
      </c>
      <c r="C219">
        <v>961</v>
      </c>
      <c r="D219">
        <v>931</v>
      </c>
      <c r="E219">
        <f t="shared" si="92"/>
        <v>1892</v>
      </c>
      <c r="F219" s="1">
        <v>2.17</v>
      </c>
      <c r="G219" s="1">
        <f t="shared" si="93"/>
        <v>871.88940092165899</v>
      </c>
    </row>
    <row r="220" spans="1:7" hidden="1" x14ac:dyDescent="0.2">
      <c r="A220" t="s">
        <v>231</v>
      </c>
      <c r="B220" t="s">
        <v>224</v>
      </c>
      <c r="C220">
        <v>2050</v>
      </c>
      <c r="D220">
        <v>2123</v>
      </c>
      <c r="E220">
        <f t="shared" si="92"/>
        <v>4173</v>
      </c>
      <c r="F220" s="1">
        <v>8.26</v>
      </c>
      <c r="G220" s="1">
        <f t="shared" si="93"/>
        <v>505.20581113801455</v>
      </c>
    </row>
    <row r="221" spans="1:7" hidden="1" x14ac:dyDescent="0.2">
      <c r="A221" t="s">
        <v>232</v>
      </c>
      <c r="B221" t="s">
        <v>172</v>
      </c>
      <c r="C221">
        <v>2814</v>
      </c>
      <c r="D221">
        <v>2696</v>
      </c>
      <c r="E221">
        <f t="shared" si="92"/>
        <v>5510</v>
      </c>
      <c r="F221" s="1">
        <v>9.6999999999999993</v>
      </c>
      <c r="G221" s="1">
        <f t="shared" si="93"/>
        <v>568.04123711340208</v>
      </c>
    </row>
    <row r="222" spans="1:7" hidden="1" x14ac:dyDescent="0.2">
      <c r="A222" t="s">
        <v>233</v>
      </c>
      <c r="B222" t="s">
        <v>158</v>
      </c>
      <c r="C222">
        <v>2886</v>
      </c>
      <c r="D222">
        <v>3778</v>
      </c>
      <c r="E222">
        <f t="shared" si="92"/>
        <v>6664</v>
      </c>
      <c r="F222" s="1">
        <v>5.47</v>
      </c>
      <c r="G222" s="1">
        <f t="shared" si="93"/>
        <v>1218.2815356489946</v>
      </c>
    </row>
    <row r="223" spans="1:7" hidden="1" x14ac:dyDescent="0.2">
      <c r="A223" t="s">
        <v>234</v>
      </c>
      <c r="B223" t="s">
        <v>160</v>
      </c>
      <c r="C223">
        <v>1173</v>
      </c>
      <c r="D223">
        <v>1185</v>
      </c>
      <c r="E223">
        <f t="shared" si="92"/>
        <v>2358</v>
      </c>
      <c r="F223" s="1">
        <v>7.14</v>
      </c>
      <c r="G223" s="1">
        <f t="shared" si="93"/>
        <v>330.25210084033614</v>
      </c>
    </row>
    <row r="224" spans="1:7" hidden="1" x14ac:dyDescent="0.2">
      <c r="A224" t="s">
        <v>235</v>
      </c>
      <c r="B224" t="s">
        <v>224</v>
      </c>
      <c r="C224">
        <v>3619</v>
      </c>
      <c r="D224">
        <v>3780</v>
      </c>
      <c r="E224">
        <f t="shared" ref="E224:E225" si="94">C224+D224</f>
        <v>7399</v>
      </c>
      <c r="F224" s="1">
        <v>9.94</v>
      </c>
      <c r="G224" s="1">
        <f t="shared" ref="G224:G225" si="95">E224/F224</f>
        <v>744.36619718309862</v>
      </c>
    </row>
    <row r="225" spans="1:7" hidden="1" x14ac:dyDescent="0.2">
      <c r="A225" t="s">
        <v>236</v>
      </c>
      <c r="B225" t="s">
        <v>224</v>
      </c>
      <c r="C225">
        <v>3653</v>
      </c>
      <c r="D225">
        <v>3773</v>
      </c>
      <c r="E225">
        <f t="shared" si="94"/>
        <v>7426</v>
      </c>
      <c r="F225" s="1">
        <v>6.09</v>
      </c>
      <c r="G225" s="1">
        <f t="shared" si="95"/>
        <v>1219.376026272578</v>
      </c>
    </row>
    <row r="226" spans="1:7" hidden="1" x14ac:dyDescent="0.2">
      <c r="A226" t="s">
        <v>237</v>
      </c>
      <c r="B226" t="s">
        <v>158</v>
      </c>
      <c r="C226">
        <v>3327</v>
      </c>
      <c r="D226">
        <v>4113</v>
      </c>
      <c r="E226">
        <f t="shared" ref="E226:E240" si="96">C226+D226</f>
        <v>7440</v>
      </c>
      <c r="F226" s="1">
        <v>4.75</v>
      </c>
      <c r="G226" s="1">
        <f t="shared" ref="G226:G240" si="97">E226/F226</f>
        <v>1566.3157894736842</v>
      </c>
    </row>
    <row r="227" spans="1:7" x14ac:dyDescent="0.2">
      <c r="A227" t="s">
        <v>238</v>
      </c>
      <c r="B227" t="s">
        <v>151</v>
      </c>
      <c r="C227">
        <v>1406</v>
      </c>
      <c r="D227">
        <v>1711</v>
      </c>
      <c r="E227">
        <f t="shared" si="96"/>
        <v>3117</v>
      </c>
      <c r="F227" s="1">
        <v>23.91</v>
      </c>
      <c r="G227" s="1">
        <f t="shared" si="97"/>
        <v>130.36386449184442</v>
      </c>
    </row>
    <row r="228" spans="1:7" hidden="1" x14ac:dyDescent="0.2">
      <c r="A228" t="s">
        <v>239</v>
      </c>
      <c r="B228" t="s">
        <v>172</v>
      </c>
      <c r="C228">
        <v>7160</v>
      </c>
      <c r="D228">
        <v>6957</v>
      </c>
      <c r="E228">
        <f t="shared" si="96"/>
        <v>14117</v>
      </c>
      <c r="F228" s="1">
        <v>9.6999999999999993</v>
      </c>
      <c r="G228" s="1">
        <f t="shared" si="97"/>
        <v>1455.3608247422681</v>
      </c>
    </row>
    <row r="229" spans="1:7" hidden="1" x14ac:dyDescent="0.2">
      <c r="A229" t="s">
        <v>240</v>
      </c>
      <c r="B229" t="s">
        <v>93</v>
      </c>
      <c r="C229">
        <v>1072</v>
      </c>
      <c r="D229">
        <v>1014</v>
      </c>
      <c r="E229">
        <f t="shared" si="96"/>
        <v>2086</v>
      </c>
      <c r="F229" s="1">
        <v>22.43</v>
      </c>
      <c r="G229" s="1">
        <f t="shared" si="97"/>
        <v>93.000445831475702</v>
      </c>
    </row>
    <row r="230" spans="1:7" hidden="1" x14ac:dyDescent="0.2">
      <c r="A230" t="s">
        <v>241</v>
      </c>
      <c r="B230" t="s">
        <v>158</v>
      </c>
      <c r="C230">
        <v>1979</v>
      </c>
      <c r="D230">
        <v>2353</v>
      </c>
      <c r="E230">
        <f t="shared" si="96"/>
        <v>4332</v>
      </c>
      <c r="F230" s="1">
        <v>4.08</v>
      </c>
      <c r="G230" s="1">
        <f t="shared" si="97"/>
        <v>1061.7647058823529</v>
      </c>
    </row>
    <row r="231" spans="1:7" hidden="1" x14ac:dyDescent="0.2">
      <c r="A231" t="s">
        <v>242</v>
      </c>
      <c r="B231" t="s">
        <v>172</v>
      </c>
      <c r="C231">
        <v>3046</v>
      </c>
      <c r="D231">
        <v>2956</v>
      </c>
      <c r="E231">
        <f t="shared" si="96"/>
        <v>6002</v>
      </c>
      <c r="F231" s="1">
        <v>9.4</v>
      </c>
      <c r="G231" s="1">
        <f t="shared" si="97"/>
        <v>638.51063829787233</v>
      </c>
    </row>
    <row r="232" spans="1:7" hidden="1" x14ac:dyDescent="0.2">
      <c r="A232" t="s">
        <v>243</v>
      </c>
      <c r="B232" t="s">
        <v>170</v>
      </c>
      <c r="C232">
        <v>2328</v>
      </c>
      <c r="D232">
        <v>2337</v>
      </c>
      <c r="E232">
        <f t="shared" si="96"/>
        <v>4665</v>
      </c>
      <c r="F232" s="1">
        <v>9.3699999999999992</v>
      </c>
      <c r="G232" s="1">
        <f t="shared" si="97"/>
        <v>497.8655282817503</v>
      </c>
    </row>
    <row r="233" spans="1:7" hidden="1" x14ac:dyDescent="0.2">
      <c r="A233" t="s">
        <v>244</v>
      </c>
      <c r="B233" t="s">
        <v>170</v>
      </c>
      <c r="C233">
        <v>3634</v>
      </c>
      <c r="D233">
        <v>3613</v>
      </c>
      <c r="E233">
        <f t="shared" si="96"/>
        <v>7247</v>
      </c>
      <c r="F233" s="1">
        <v>12.41</v>
      </c>
      <c r="G233" s="1">
        <f t="shared" si="97"/>
        <v>583.96454472199844</v>
      </c>
    </row>
    <row r="234" spans="1:7" hidden="1" x14ac:dyDescent="0.2">
      <c r="A234" t="s">
        <v>245</v>
      </c>
      <c r="B234" t="s">
        <v>93</v>
      </c>
      <c r="C234">
        <v>3559</v>
      </c>
      <c r="D234">
        <v>3478</v>
      </c>
      <c r="E234">
        <f t="shared" si="96"/>
        <v>7037</v>
      </c>
      <c r="F234" s="1">
        <v>24.31</v>
      </c>
      <c r="G234" s="1">
        <f t="shared" si="97"/>
        <v>289.46935417523656</v>
      </c>
    </row>
    <row r="235" spans="1:7" hidden="1" x14ac:dyDescent="0.2">
      <c r="A235" t="s">
        <v>246</v>
      </c>
      <c r="B235" t="s">
        <v>160</v>
      </c>
      <c r="C235">
        <v>3545</v>
      </c>
      <c r="D235">
        <v>3433</v>
      </c>
      <c r="E235">
        <f t="shared" si="96"/>
        <v>6978</v>
      </c>
      <c r="F235" s="1">
        <v>18.53</v>
      </c>
      <c r="G235" s="1">
        <f t="shared" si="97"/>
        <v>376.57852131678356</v>
      </c>
    </row>
    <row r="236" spans="1:7" hidden="1" x14ac:dyDescent="0.2">
      <c r="A236" t="s">
        <v>247</v>
      </c>
      <c r="B236" t="s">
        <v>224</v>
      </c>
      <c r="C236">
        <v>737</v>
      </c>
      <c r="D236">
        <v>726</v>
      </c>
      <c r="E236">
        <f t="shared" si="96"/>
        <v>1463</v>
      </c>
      <c r="F236" s="1">
        <v>14.64</v>
      </c>
      <c r="G236" s="1">
        <f t="shared" si="97"/>
        <v>99.931693989071036</v>
      </c>
    </row>
    <row r="237" spans="1:7" hidden="1" x14ac:dyDescent="0.2">
      <c r="A237" t="s">
        <v>248</v>
      </c>
      <c r="B237" t="s">
        <v>249</v>
      </c>
      <c r="C237">
        <v>2085</v>
      </c>
      <c r="D237">
        <v>2232</v>
      </c>
      <c r="E237">
        <f t="shared" si="96"/>
        <v>4317</v>
      </c>
      <c r="F237" s="1">
        <v>26.53</v>
      </c>
      <c r="G237" s="1">
        <f t="shared" si="97"/>
        <v>162.72144741801733</v>
      </c>
    </row>
    <row r="238" spans="1:7" hidden="1" x14ac:dyDescent="0.2">
      <c r="A238" t="s">
        <v>250</v>
      </c>
      <c r="B238" t="s">
        <v>160</v>
      </c>
      <c r="C238">
        <v>5622</v>
      </c>
      <c r="D238">
        <v>5696</v>
      </c>
      <c r="E238">
        <f t="shared" si="96"/>
        <v>11318</v>
      </c>
      <c r="F238" s="1">
        <v>84.53</v>
      </c>
      <c r="G238" s="1">
        <f t="shared" si="97"/>
        <v>133.89329232225245</v>
      </c>
    </row>
    <row r="239" spans="1:7" hidden="1" x14ac:dyDescent="0.2">
      <c r="A239" t="s">
        <v>251</v>
      </c>
      <c r="B239" t="s">
        <v>224</v>
      </c>
      <c r="C239">
        <v>3701</v>
      </c>
      <c r="D239">
        <v>3608</v>
      </c>
      <c r="E239">
        <f t="shared" si="96"/>
        <v>7309</v>
      </c>
      <c r="F239" s="1">
        <v>35.5</v>
      </c>
      <c r="G239" s="1">
        <f t="shared" si="97"/>
        <v>205.88732394366198</v>
      </c>
    </row>
    <row r="240" spans="1:7" x14ac:dyDescent="0.2">
      <c r="A240" t="s">
        <v>252</v>
      </c>
      <c r="B240" t="s">
        <v>151</v>
      </c>
      <c r="C240">
        <v>661</v>
      </c>
      <c r="D240">
        <v>616</v>
      </c>
      <c r="E240">
        <f t="shared" si="96"/>
        <v>1277</v>
      </c>
      <c r="F240" s="1">
        <v>10</v>
      </c>
      <c r="G240" s="1">
        <f t="shared" si="97"/>
        <v>127.7</v>
      </c>
    </row>
    <row r="241" spans="1:7" hidden="1" x14ac:dyDescent="0.2">
      <c r="A241" t="s">
        <v>253</v>
      </c>
      <c r="B241" t="s">
        <v>224</v>
      </c>
      <c r="C241">
        <v>3263</v>
      </c>
      <c r="D241">
        <v>3170</v>
      </c>
      <c r="E241">
        <f t="shared" ref="E241:E242" si="98">C241+D241</f>
        <v>6433</v>
      </c>
      <c r="F241" s="1">
        <v>9.65</v>
      </c>
      <c r="G241" s="1">
        <f t="shared" ref="G241:G242" si="99">E241/F241</f>
        <v>666.63212435233163</v>
      </c>
    </row>
    <row r="242" spans="1:7" hidden="1" x14ac:dyDescent="0.2">
      <c r="A242" t="s">
        <v>254</v>
      </c>
      <c r="B242" t="s">
        <v>224</v>
      </c>
      <c r="C242">
        <v>2229</v>
      </c>
      <c r="D242">
        <v>2231</v>
      </c>
      <c r="E242">
        <f t="shared" si="98"/>
        <v>4460</v>
      </c>
      <c r="F242" s="1">
        <v>16.399999999999999</v>
      </c>
      <c r="G242" s="1">
        <f t="shared" si="99"/>
        <v>271.95121951219517</v>
      </c>
    </row>
    <row r="243" spans="1:7" hidden="1" x14ac:dyDescent="0.2">
      <c r="A243" t="s">
        <v>248</v>
      </c>
      <c r="B243" t="s">
        <v>249</v>
      </c>
      <c r="C243">
        <v>2085</v>
      </c>
      <c r="D243">
        <v>2232</v>
      </c>
      <c r="E243">
        <f>C243+D243</f>
        <v>4317</v>
      </c>
      <c r="F243" s="1">
        <v>26.53</v>
      </c>
      <c r="G243" s="1">
        <f>E243/F243</f>
        <v>162.72144741801733</v>
      </c>
    </row>
    <row r="244" spans="1:7" x14ac:dyDescent="0.2">
      <c r="A244" t="s">
        <v>255</v>
      </c>
      <c r="B244" t="s">
        <v>151</v>
      </c>
      <c r="C244">
        <v>3250</v>
      </c>
      <c r="D244">
        <v>3610</v>
      </c>
      <c r="E244">
        <f>C244+D244</f>
        <v>6860</v>
      </c>
      <c r="F244" s="1">
        <v>29.68</v>
      </c>
      <c r="G244" s="1">
        <f>E244/F244</f>
        <v>231.1320754716981</v>
      </c>
    </row>
    <row r="245" spans="1:7" hidden="1" x14ac:dyDescent="0.2">
      <c r="A245" t="s">
        <v>256</v>
      </c>
      <c r="B245" t="s">
        <v>172</v>
      </c>
      <c r="C245">
        <v>2825</v>
      </c>
      <c r="D245">
        <v>2846</v>
      </c>
      <c r="E245">
        <f>C245+D245</f>
        <v>5671</v>
      </c>
      <c r="F245" s="1">
        <v>44.9</v>
      </c>
      <c r="G245" s="1">
        <f>E245/F245</f>
        <v>126.30289532293988</v>
      </c>
    </row>
    <row r="246" spans="1:7" hidden="1" x14ac:dyDescent="0.2">
      <c r="A246" t="s">
        <v>257</v>
      </c>
      <c r="B246" t="s">
        <v>249</v>
      </c>
      <c r="C246">
        <v>892</v>
      </c>
      <c r="D246">
        <v>953</v>
      </c>
      <c r="E246">
        <f t="shared" ref="E246:E248" si="100">C246+D246</f>
        <v>1845</v>
      </c>
      <c r="F246" s="1">
        <v>18</v>
      </c>
      <c r="G246" s="1">
        <f t="shared" ref="G246:G248" si="101">E246/F246</f>
        <v>102.5</v>
      </c>
    </row>
    <row r="247" spans="1:7" hidden="1" x14ac:dyDescent="0.2">
      <c r="A247" t="s">
        <v>258</v>
      </c>
      <c r="B247" t="s">
        <v>249</v>
      </c>
      <c r="C247">
        <v>862</v>
      </c>
      <c r="D247">
        <v>921</v>
      </c>
      <c r="E247">
        <f t="shared" si="100"/>
        <v>1783</v>
      </c>
      <c r="F247" s="1">
        <v>2.57</v>
      </c>
      <c r="G247" s="1">
        <f t="shared" si="101"/>
        <v>693.77431906614788</v>
      </c>
    </row>
    <row r="248" spans="1:7" hidden="1" x14ac:dyDescent="0.2">
      <c r="A248" t="s">
        <v>259</v>
      </c>
      <c r="B248" t="s">
        <v>260</v>
      </c>
      <c r="C248">
        <v>3697</v>
      </c>
      <c r="D248">
        <v>3663</v>
      </c>
      <c r="E248">
        <f t="shared" si="100"/>
        <v>7360</v>
      </c>
      <c r="F248" s="1">
        <v>55.97</v>
      </c>
      <c r="G248" s="1">
        <f t="shared" si="101"/>
        <v>131.49901733071289</v>
      </c>
    </row>
    <row r="249" spans="1:7" hidden="1" x14ac:dyDescent="0.2">
      <c r="A249" t="s">
        <v>248</v>
      </c>
      <c r="B249" t="s">
        <v>249</v>
      </c>
      <c r="C249">
        <v>2085</v>
      </c>
      <c r="D249">
        <v>2232</v>
      </c>
      <c r="E249">
        <f t="shared" ref="E249:E253" si="102">C249+D249</f>
        <v>4317</v>
      </c>
      <c r="F249" s="1">
        <v>26.53</v>
      </c>
      <c r="G249" s="1">
        <f t="shared" ref="G249:G253" si="103">E249/F249</f>
        <v>162.72144741801733</v>
      </c>
    </row>
    <row r="250" spans="1:7" hidden="1" x14ac:dyDescent="0.2">
      <c r="A250" t="s">
        <v>261</v>
      </c>
      <c r="B250" t="s">
        <v>249</v>
      </c>
      <c r="C250">
        <v>2331</v>
      </c>
      <c r="D250">
        <v>2605</v>
      </c>
      <c r="E250">
        <f t="shared" si="102"/>
        <v>4936</v>
      </c>
      <c r="F250" s="1">
        <v>18.399999999999999</v>
      </c>
      <c r="G250" s="1">
        <f t="shared" si="103"/>
        <v>268.26086956521743</v>
      </c>
    </row>
    <row r="251" spans="1:7" hidden="1" x14ac:dyDescent="0.2">
      <c r="A251" t="s">
        <v>262</v>
      </c>
      <c r="B251" t="s">
        <v>249</v>
      </c>
      <c r="C251">
        <v>1154</v>
      </c>
      <c r="D251">
        <v>1288</v>
      </c>
      <c r="E251">
        <f t="shared" si="102"/>
        <v>2442</v>
      </c>
      <c r="F251" s="1">
        <v>12.45</v>
      </c>
      <c r="G251" s="1">
        <f t="shared" si="103"/>
        <v>196.14457831325302</v>
      </c>
    </row>
    <row r="252" spans="1:7" hidden="1" x14ac:dyDescent="0.2">
      <c r="A252" t="s">
        <v>263</v>
      </c>
      <c r="B252" t="s">
        <v>260</v>
      </c>
      <c r="C252">
        <v>1314</v>
      </c>
      <c r="D252">
        <v>1292</v>
      </c>
      <c r="E252">
        <f t="shared" si="102"/>
        <v>2606</v>
      </c>
      <c r="F252" s="1">
        <v>32.92</v>
      </c>
      <c r="G252" s="1">
        <f t="shared" si="103"/>
        <v>79.161603888213847</v>
      </c>
    </row>
    <row r="253" spans="1:7" hidden="1" x14ac:dyDescent="0.2">
      <c r="A253" t="s">
        <v>264</v>
      </c>
      <c r="B253" t="s">
        <v>260</v>
      </c>
      <c r="C253">
        <v>2494</v>
      </c>
      <c r="D253">
        <v>2459</v>
      </c>
      <c r="E253">
        <f t="shared" si="102"/>
        <v>4953</v>
      </c>
      <c r="F253" s="1">
        <v>52.29</v>
      </c>
      <c r="G253" s="1">
        <f t="shared" si="103"/>
        <v>94.721744119334488</v>
      </c>
    </row>
    <row r="254" spans="1:7" hidden="1" x14ac:dyDescent="0.2">
      <c r="A254" t="s">
        <v>265</v>
      </c>
      <c r="B254" t="s">
        <v>249</v>
      </c>
      <c r="C254">
        <v>875</v>
      </c>
      <c r="D254">
        <v>981</v>
      </c>
      <c r="E254">
        <f t="shared" ref="E254:E257" si="104">C254+D254</f>
        <v>1856</v>
      </c>
      <c r="F254" s="1">
        <v>3.94</v>
      </c>
      <c r="G254" s="1">
        <f t="shared" ref="G254:G257" si="105">E254/F254</f>
        <v>471.06598984771574</v>
      </c>
    </row>
    <row r="255" spans="1:7" hidden="1" x14ac:dyDescent="0.2">
      <c r="A255" t="s">
        <v>266</v>
      </c>
      <c r="B255" t="s">
        <v>249</v>
      </c>
      <c r="C255">
        <v>1905</v>
      </c>
      <c r="D255">
        <v>1919</v>
      </c>
      <c r="E255">
        <f t="shared" si="104"/>
        <v>3824</v>
      </c>
      <c r="F255" s="1">
        <v>35.06</v>
      </c>
      <c r="G255" s="1">
        <f t="shared" si="105"/>
        <v>109.07016543069024</v>
      </c>
    </row>
    <row r="256" spans="1:7" hidden="1" x14ac:dyDescent="0.2">
      <c r="A256" t="s">
        <v>266</v>
      </c>
      <c r="B256" t="s">
        <v>249</v>
      </c>
      <c r="C256">
        <v>1905</v>
      </c>
      <c r="D256">
        <v>1919</v>
      </c>
      <c r="E256">
        <f t="shared" si="104"/>
        <v>3824</v>
      </c>
      <c r="F256" s="1">
        <v>35.06</v>
      </c>
      <c r="G256" s="1">
        <f t="shared" si="105"/>
        <v>109.07016543069024</v>
      </c>
    </row>
    <row r="257" spans="1:7" hidden="1" x14ac:dyDescent="0.2">
      <c r="A257" t="s">
        <v>267</v>
      </c>
      <c r="B257" t="s">
        <v>260</v>
      </c>
      <c r="C257">
        <v>1879</v>
      </c>
      <c r="D257">
        <v>1905</v>
      </c>
      <c r="E257">
        <f t="shared" si="104"/>
        <v>3784</v>
      </c>
      <c r="F257" s="1">
        <v>38.619999999999997</v>
      </c>
      <c r="G257" s="1">
        <f t="shared" si="105"/>
        <v>97.980321077162102</v>
      </c>
    </row>
    <row r="258" spans="1:7" hidden="1" x14ac:dyDescent="0.2">
      <c r="A258" t="s">
        <v>268</v>
      </c>
      <c r="B258" t="s">
        <v>249</v>
      </c>
      <c r="C258">
        <v>920</v>
      </c>
      <c r="D258">
        <v>932</v>
      </c>
      <c r="E258">
        <f t="shared" ref="E258:E264" si="106">C258+D258</f>
        <v>1852</v>
      </c>
      <c r="F258" s="1">
        <v>3.52</v>
      </c>
      <c r="G258" s="1">
        <f t="shared" ref="G258:G264" si="107">E258/F258</f>
        <v>526.13636363636363</v>
      </c>
    </row>
    <row r="259" spans="1:7" hidden="1" x14ac:dyDescent="0.2">
      <c r="A259" t="s">
        <v>269</v>
      </c>
      <c r="B259" t="s">
        <v>249</v>
      </c>
      <c r="C259">
        <v>2776</v>
      </c>
      <c r="D259">
        <v>2793</v>
      </c>
      <c r="E259">
        <f t="shared" si="106"/>
        <v>5569</v>
      </c>
      <c r="F259" s="1">
        <v>68.34</v>
      </c>
      <c r="G259" s="1">
        <f t="shared" si="107"/>
        <v>81.489610769681008</v>
      </c>
    </row>
    <row r="260" spans="1:7" hidden="1" x14ac:dyDescent="0.2">
      <c r="A260" t="s">
        <v>266</v>
      </c>
      <c r="B260" t="s">
        <v>249</v>
      </c>
      <c r="C260">
        <v>1905</v>
      </c>
      <c r="D260">
        <v>1919</v>
      </c>
      <c r="E260">
        <f t="shared" si="106"/>
        <v>3824</v>
      </c>
      <c r="F260" s="1">
        <v>35.06</v>
      </c>
      <c r="G260" s="1">
        <f t="shared" si="107"/>
        <v>109.07016543069024</v>
      </c>
    </row>
    <row r="261" spans="1:7" hidden="1" x14ac:dyDescent="0.2">
      <c r="A261" t="s">
        <v>270</v>
      </c>
      <c r="B261" t="s">
        <v>249</v>
      </c>
      <c r="C261">
        <v>1061</v>
      </c>
      <c r="D261">
        <v>1041</v>
      </c>
      <c r="E261">
        <f t="shared" si="106"/>
        <v>2102</v>
      </c>
      <c r="F261" s="1">
        <v>45.06</v>
      </c>
      <c r="G261" s="1">
        <f t="shared" si="107"/>
        <v>46.648912561029739</v>
      </c>
    </row>
    <row r="262" spans="1:7" hidden="1" x14ac:dyDescent="0.2">
      <c r="A262" t="s">
        <v>271</v>
      </c>
      <c r="B262" t="s">
        <v>249</v>
      </c>
      <c r="C262">
        <v>1087</v>
      </c>
      <c r="D262">
        <v>1135</v>
      </c>
      <c r="E262">
        <f t="shared" si="106"/>
        <v>2222</v>
      </c>
      <c r="F262" s="1">
        <v>11.35</v>
      </c>
      <c r="G262" s="1">
        <f t="shared" si="107"/>
        <v>195.77092511013217</v>
      </c>
    </row>
    <row r="263" spans="1:7" hidden="1" x14ac:dyDescent="0.2">
      <c r="A263" t="s">
        <v>272</v>
      </c>
      <c r="B263" t="s">
        <v>260</v>
      </c>
      <c r="C263">
        <v>1500</v>
      </c>
      <c r="D263">
        <v>1334</v>
      </c>
      <c r="E263">
        <f t="shared" si="106"/>
        <v>2834</v>
      </c>
      <c r="F263" s="1">
        <v>33.590000000000003</v>
      </c>
      <c r="G263" s="1">
        <f t="shared" si="107"/>
        <v>84.370348317951766</v>
      </c>
    </row>
    <row r="264" spans="1:7" hidden="1" x14ac:dyDescent="0.2">
      <c r="A264" t="s">
        <v>273</v>
      </c>
      <c r="B264" t="s">
        <v>260</v>
      </c>
      <c r="C264">
        <v>1029</v>
      </c>
      <c r="D264">
        <v>1002</v>
      </c>
      <c r="E264">
        <f t="shared" si="106"/>
        <v>2031</v>
      </c>
      <c r="F264" s="1">
        <v>32.5</v>
      </c>
      <c r="G264" s="1">
        <f t="shared" si="107"/>
        <v>62.492307692307691</v>
      </c>
    </row>
  </sheetData>
  <autoFilter ref="B1:B264">
    <filterColumn colId="0">
      <filters>
        <filter val="Kecamatan Aikme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2023-06-24T02:10:39Z</dcterms:created>
  <dcterms:modified xsi:type="dcterms:W3CDTF">2023-06-24T22:27:15Z</dcterms:modified>
</cp:coreProperties>
</file>