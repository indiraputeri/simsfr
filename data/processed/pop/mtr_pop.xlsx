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Users/indirapkinasih/R Project/Housing Data/data/processed/"/>
    </mc:Choice>
  </mc:AlternateContent>
  <bookViews>
    <workbookView xWindow="13160" yWindow="680" windowWidth="15640" windowHeight="15220" tabRatio="500"/>
  </bookViews>
  <sheets>
    <sheet name="Sheet1" sheetId="1" r:id="rId1"/>
  </sheets>
  <definedNames>
    <definedName name="_xlnm._FilterDatabase" localSheetId="0" hidden="1">Sheet1!$B$1:$B$52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2" i="1" l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7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E35" i="1"/>
  <c r="G35" i="1"/>
  <c r="E36" i="1"/>
  <c r="G36" i="1"/>
  <c r="E37" i="1"/>
  <c r="G37" i="1"/>
  <c r="E38" i="1"/>
  <c r="G38" i="1"/>
  <c r="E39" i="1"/>
  <c r="G39" i="1"/>
  <c r="E40" i="1"/>
  <c r="G40" i="1"/>
  <c r="E41" i="1"/>
  <c r="G41" i="1"/>
  <c r="E42" i="1"/>
  <c r="G42" i="1"/>
  <c r="E43" i="1"/>
  <c r="G43" i="1"/>
  <c r="E44" i="1"/>
  <c r="G44" i="1"/>
  <c r="E45" i="1"/>
  <c r="G45" i="1"/>
  <c r="E46" i="1"/>
  <c r="G46" i="1"/>
  <c r="E47" i="1"/>
  <c r="G47" i="1"/>
  <c r="E48" i="1"/>
  <c r="G48" i="1"/>
  <c r="E49" i="1"/>
  <c r="G49" i="1"/>
  <c r="E50" i="1"/>
  <c r="G50" i="1"/>
  <c r="E51" i="1"/>
  <c r="G51" i="1"/>
  <c r="E3" i="1"/>
  <c r="G3" i="1"/>
  <c r="E4" i="1"/>
  <c r="G4" i="1"/>
  <c r="E5" i="1"/>
  <c r="G5" i="1"/>
  <c r="E2" i="1"/>
  <c r="G2" i="1"/>
  <c r="E52" i="1"/>
  <c r="D52" i="1"/>
  <c r="C52" i="1"/>
</calcChain>
</file>

<file path=xl/sharedStrings.xml><?xml version="1.0" encoding="utf-8"?>
<sst xmlns="http://schemas.openxmlformats.org/spreadsheetml/2006/main" count="107" uniqueCount="63">
  <si>
    <t>NAMOBJ</t>
  </si>
  <si>
    <t>Kelurahan Pagutan Timur</t>
  </si>
  <si>
    <t>Kelurahan Turida</t>
  </si>
  <si>
    <t>Kelurahan Dasan Cermen</t>
  </si>
  <si>
    <t>Kelurahan Jempong Baru</t>
  </si>
  <si>
    <t>Kelurahan Pagesangan</t>
  </si>
  <si>
    <t>Kelurahan Cakranegara Selatan Baru</t>
  </si>
  <si>
    <t>Kelurahan Mandalika</t>
  </si>
  <si>
    <t>Kelurahan Tanjung Karang</t>
  </si>
  <si>
    <t>Kelurahan Mayura</t>
  </si>
  <si>
    <t>Kelurahan Cilinaya</t>
  </si>
  <si>
    <t>Kelurahan Mataram Barat</t>
  </si>
  <si>
    <t>Kelurahan Pejanggik</t>
  </si>
  <si>
    <t>Kelurahan Dasan Agung Baru</t>
  </si>
  <si>
    <t>Kelurahan Taman Sari</t>
  </si>
  <si>
    <t>Kelurahan Selagalas</t>
  </si>
  <si>
    <t>Kelurahan Cakranegara Utara</t>
  </si>
  <si>
    <t>Kelurahan Monjok</t>
  </si>
  <si>
    <t>Kelurahan Ampenan Tengah</t>
  </si>
  <si>
    <t>Kelurahan Pajarakan Karya</t>
  </si>
  <si>
    <t>Kelurahan Karang Baru</t>
  </si>
  <si>
    <t>Kelurahan Sayangsayang</t>
  </si>
  <si>
    <t>Kelurahan Rembiga</t>
  </si>
  <si>
    <t>Kelurahan Ampenan Utara</t>
  </si>
  <si>
    <t>Kelurahan Bintaro</t>
  </si>
  <si>
    <t>Kelurahan Dayan Peken</t>
  </si>
  <si>
    <t>Kelurahan Pejeruk</t>
  </si>
  <si>
    <t>Kelurahan Kebun Sari</t>
  </si>
  <si>
    <t>Kelurahan Banjar</t>
  </si>
  <si>
    <t>Kelurahan Ampenan Selatan</t>
  </si>
  <si>
    <t>Kelurahan Mataram Timur</t>
  </si>
  <si>
    <t>Kelurahan Pagesangan Timur</t>
  </si>
  <si>
    <t>Kelurahan Pagesangan Barat</t>
  </si>
  <si>
    <t>Kelurahan Pagutan Barat</t>
  </si>
  <si>
    <t>Kelurahan Pagutan</t>
  </si>
  <si>
    <t>Kelurahan Punia</t>
  </si>
  <si>
    <t>Kelurahan Karang Taliwang</t>
  </si>
  <si>
    <t>Kelurahan Cakranegara Barat</t>
  </si>
  <si>
    <t>Kelurahan Cakranegara Timur</t>
  </si>
  <si>
    <t>Kelurahan Cakranegara Selatan</t>
  </si>
  <si>
    <t>Kelurahan Sapta Marga</t>
  </si>
  <si>
    <t>Kelurahan Tanjung Karang Permai</t>
  </si>
  <si>
    <t>Kelurahan Kekalik Jaya</t>
  </si>
  <si>
    <t>Kelurahan Karang Pule</t>
  </si>
  <si>
    <t>Kelurahan Monjok Barat</t>
  </si>
  <si>
    <t>Kelurahan Monjok Timur</t>
  </si>
  <si>
    <t>Kelurahan Dasan Agung</t>
  </si>
  <si>
    <t>Kelurahan Gomong</t>
  </si>
  <si>
    <t>Kelurahan Bertais</t>
  </si>
  <si>
    <t>Kelurahan Babakan</t>
  </si>
  <si>
    <t>Kelurahan Abian Tubuh Baru</t>
  </si>
  <si>
    <t>Kecamatan Sandubaya</t>
  </si>
  <si>
    <t>Kecamatan Cakranegara</t>
  </si>
  <si>
    <t>Kecamatan Mataram</t>
  </si>
  <si>
    <t>Kecamatan Selaparang</t>
  </si>
  <si>
    <t>Kecamatan Sekarbela</t>
  </si>
  <si>
    <t>Kecamatan Ampenan</t>
  </si>
  <si>
    <t>WADMKC</t>
  </si>
  <si>
    <t>male</t>
  </si>
  <si>
    <t>female</t>
  </si>
  <si>
    <t>total</t>
  </si>
  <si>
    <t>area (km2)</t>
  </si>
  <si>
    <t>pop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</si>
</sst>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zoomScale="110" zoomScaleNormal="110" zoomScalePageLayoutView="110" workbookViewId="0">
      <selection activeCell="E17" sqref="E17"/>
    </sheetView>
  </sheetViews>
  <sheetFormatPr baseColWidth="10" defaultRowHeight="16" x14ac:dyDescent="0.2"/>
  <cols>
    <col min="1" max="1" width="32.5" customWidth="1"/>
    <col min="2" max="2" width="22" customWidth="1"/>
    <col min="6" max="7" width="10.83203125" style="2"/>
  </cols>
  <sheetData>
    <row r="1" spans="1:7" x14ac:dyDescent="0.2">
      <c r="A1" t="s">
        <v>0</v>
      </c>
      <c r="B1" t="s">
        <v>57</v>
      </c>
      <c r="C1" t="s">
        <v>58</v>
      </c>
      <c r="D1" t="s">
        <v>59</v>
      </c>
      <c r="E1" t="s">
        <v>60</v>
      </c>
      <c r="F1" s="2" t="s">
        <v>61</v>
      </c>
      <c r="G1" s="2" t="s">
        <v>62</v>
      </c>
    </row>
    <row r="2" spans="1:7" x14ac:dyDescent="0.2">
      <c r="A2" t="s">
        <v>1</v>
      </c>
      <c r="B2" t="s">
        <v>53</v>
      </c>
      <c r="C2">
        <v>3703</v>
      </c>
      <c r="D2">
        <v>3656</v>
      </c>
      <c r="E2">
        <f>C2+D2</f>
        <v>7359</v>
      </c>
      <c r="F2" s="2">
        <v>1.03</v>
      </c>
      <c r="G2" s="2">
        <f>E2/F2</f>
        <v>7144.6601941747567</v>
      </c>
    </row>
    <row r="3" spans="1:7" x14ac:dyDescent="0.2">
      <c r="A3" t="s">
        <v>2</v>
      </c>
      <c r="B3" t="s">
        <v>51</v>
      </c>
      <c r="C3">
        <v>5364</v>
      </c>
      <c r="D3">
        <v>5366</v>
      </c>
      <c r="E3">
        <f t="shared" ref="E3:E51" si="0">C3+D3</f>
        <v>10730</v>
      </c>
      <c r="F3" s="2">
        <v>1.97</v>
      </c>
      <c r="G3" s="2">
        <f t="shared" ref="G3:G51" si="1">E3/F3</f>
        <v>5446.7005076142132</v>
      </c>
    </row>
    <row r="4" spans="1:7" x14ac:dyDescent="0.2">
      <c r="A4" t="s">
        <v>3</v>
      </c>
      <c r="B4" t="s">
        <v>51</v>
      </c>
      <c r="C4">
        <v>2458</v>
      </c>
      <c r="D4">
        <v>2496</v>
      </c>
      <c r="E4">
        <f t="shared" si="0"/>
        <v>4954</v>
      </c>
      <c r="F4" s="2">
        <v>1.58</v>
      </c>
      <c r="G4" s="2">
        <f t="shared" si="1"/>
        <v>3135.4430379746832</v>
      </c>
    </row>
    <row r="5" spans="1:7" x14ac:dyDescent="0.2">
      <c r="A5" t="s">
        <v>4</v>
      </c>
      <c r="B5" t="s">
        <v>55</v>
      </c>
      <c r="C5">
        <v>8279</v>
      </c>
      <c r="D5">
        <v>8362</v>
      </c>
      <c r="E5">
        <f t="shared" si="0"/>
        <v>16641</v>
      </c>
      <c r="F5" s="2">
        <v>4.6520000000000001</v>
      </c>
      <c r="G5" s="2">
        <f t="shared" si="1"/>
        <v>3577.1711092003438</v>
      </c>
    </row>
    <row r="6" spans="1:7" x14ac:dyDescent="0.2">
      <c r="A6" t="s">
        <v>5</v>
      </c>
      <c r="B6" t="s">
        <v>53</v>
      </c>
      <c r="C6">
        <v>3709</v>
      </c>
      <c r="D6">
        <v>3854</v>
      </c>
      <c r="E6">
        <f t="shared" si="0"/>
        <v>7563</v>
      </c>
      <c r="F6" s="2">
        <v>1.96</v>
      </c>
      <c r="G6" s="2">
        <f t="shared" si="1"/>
        <v>3858.6734693877552</v>
      </c>
    </row>
    <row r="7" spans="1:7" x14ac:dyDescent="0.2">
      <c r="A7" t="s">
        <v>6</v>
      </c>
      <c r="B7" t="s">
        <v>52</v>
      </c>
      <c r="C7">
        <v>4419</v>
      </c>
      <c r="D7">
        <v>4448</v>
      </c>
      <c r="E7">
        <f t="shared" si="0"/>
        <v>8867</v>
      </c>
      <c r="F7" s="2">
        <v>0.56000000000000005</v>
      </c>
      <c r="G7" s="2">
        <f t="shared" si="1"/>
        <v>15833.928571428571</v>
      </c>
    </row>
    <row r="8" spans="1:7" x14ac:dyDescent="0.2">
      <c r="A8" t="s">
        <v>7</v>
      </c>
      <c r="B8" t="s">
        <v>51</v>
      </c>
      <c r="C8">
        <v>6488</v>
      </c>
      <c r="D8">
        <v>6258</v>
      </c>
      <c r="E8">
        <f t="shared" si="0"/>
        <v>12746</v>
      </c>
      <c r="F8" s="2">
        <v>1</v>
      </c>
      <c r="G8" s="2">
        <f t="shared" si="1"/>
        <v>12746</v>
      </c>
    </row>
    <row r="9" spans="1:7" x14ac:dyDescent="0.2">
      <c r="A9" t="s">
        <v>8</v>
      </c>
      <c r="B9" t="s">
        <v>55</v>
      </c>
      <c r="C9">
        <v>4520</v>
      </c>
      <c r="D9">
        <v>4355</v>
      </c>
      <c r="E9">
        <f t="shared" si="0"/>
        <v>8875</v>
      </c>
      <c r="F9" s="2">
        <v>2.57</v>
      </c>
      <c r="G9" s="2">
        <f t="shared" si="1"/>
        <v>3453.3073929961092</v>
      </c>
    </row>
    <row r="10" spans="1:7" x14ac:dyDescent="0.2">
      <c r="A10" t="s">
        <v>9</v>
      </c>
      <c r="B10" t="s">
        <v>52</v>
      </c>
      <c r="C10">
        <v>3066</v>
      </c>
      <c r="D10">
        <v>3035</v>
      </c>
      <c r="E10">
        <f t="shared" si="0"/>
        <v>6101</v>
      </c>
      <c r="F10" s="2">
        <v>1.02</v>
      </c>
      <c r="G10" s="2">
        <f t="shared" si="1"/>
        <v>5981.3725490196075</v>
      </c>
    </row>
    <row r="11" spans="1:7" x14ac:dyDescent="0.2">
      <c r="A11" t="s">
        <v>10</v>
      </c>
      <c r="B11" t="s">
        <v>52</v>
      </c>
      <c r="C11">
        <v>3377</v>
      </c>
      <c r="D11">
        <v>3450</v>
      </c>
      <c r="E11">
        <f t="shared" si="0"/>
        <v>6827</v>
      </c>
      <c r="F11" s="2">
        <v>1.29</v>
      </c>
      <c r="G11" s="2">
        <f t="shared" si="1"/>
        <v>5292.2480620155038</v>
      </c>
    </row>
    <row r="12" spans="1:7" x14ac:dyDescent="0.2">
      <c r="A12" t="s">
        <v>11</v>
      </c>
      <c r="B12" t="s">
        <v>54</v>
      </c>
      <c r="C12">
        <v>2600</v>
      </c>
      <c r="D12">
        <v>2715</v>
      </c>
      <c r="E12">
        <f t="shared" si="0"/>
        <v>5315</v>
      </c>
      <c r="F12" s="2">
        <v>0.69</v>
      </c>
      <c r="G12" s="2">
        <f t="shared" si="1"/>
        <v>7702.898550724638</v>
      </c>
    </row>
    <row r="13" spans="1:7" x14ac:dyDescent="0.2">
      <c r="A13" t="s">
        <v>12</v>
      </c>
      <c r="B13" t="s">
        <v>53</v>
      </c>
      <c r="C13">
        <v>3768</v>
      </c>
      <c r="D13">
        <v>3894</v>
      </c>
      <c r="E13">
        <f t="shared" si="0"/>
        <v>7662</v>
      </c>
      <c r="F13" s="2">
        <v>1.03</v>
      </c>
      <c r="G13" s="2">
        <f t="shared" si="1"/>
        <v>7438.8349514563106</v>
      </c>
    </row>
    <row r="14" spans="1:7" x14ac:dyDescent="0.2">
      <c r="A14" t="s">
        <v>13</v>
      </c>
      <c r="B14" t="s">
        <v>54</v>
      </c>
      <c r="C14">
        <v>2158</v>
      </c>
      <c r="D14">
        <v>2231</v>
      </c>
      <c r="E14">
        <f t="shared" si="0"/>
        <v>4389</v>
      </c>
      <c r="F14" s="2">
        <v>1.1599999999999999</v>
      </c>
      <c r="G14" s="2">
        <f t="shared" si="1"/>
        <v>3783.6206896551726</v>
      </c>
    </row>
    <row r="15" spans="1:7" x14ac:dyDescent="0.2">
      <c r="A15" t="s">
        <v>14</v>
      </c>
      <c r="B15" t="s">
        <v>56</v>
      </c>
      <c r="C15">
        <v>3996</v>
      </c>
      <c r="D15">
        <v>4098</v>
      </c>
      <c r="E15">
        <f t="shared" si="0"/>
        <v>8094</v>
      </c>
      <c r="F15" s="2">
        <v>1.61</v>
      </c>
      <c r="G15" s="2">
        <f t="shared" si="1"/>
        <v>5027.3291925465837</v>
      </c>
    </row>
    <row r="16" spans="1:7" x14ac:dyDescent="0.2">
      <c r="A16" t="s">
        <v>15</v>
      </c>
      <c r="B16" t="s">
        <v>51</v>
      </c>
      <c r="C16">
        <v>6199</v>
      </c>
      <c r="D16">
        <v>6154</v>
      </c>
      <c r="E16">
        <f t="shared" si="0"/>
        <v>12353</v>
      </c>
      <c r="F16" s="2">
        <v>2.99</v>
      </c>
      <c r="G16" s="2">
        <f t="shared" si="1"/>
        <v>4131.4381270903004</v>
      </c>
    </row>
    <row r="17" spans="1:7" x14ac:dyDescent="0.2">
      <c r="A17" t="s">
        <v>16</v>
      </c>
      <c r="B17" t="s">
        <v>52</v>
      </c>
      <c r="C17">
        <v>3217</v>
      </c>
      <c r="D17">
        <v>3237</v>
      </c>
      <c r="E17">
        <f t="shared" si="0"/>
        <v>6454</v>
      </c>
      <c r="F17" s="2">
        <v>1.29</v>
      </c>
      <c r="G17" s="2">
        <f t="shared" si="1"/>
        <v>5003.1007751937987</v>
      </c>
    </row>
    <row r="18" spans="1:7" x14ac:dyDescent="0.2">
      <c r="A18" t="s">
        <v>17</v>
      </c>
      <c r="B18" t="s">
        <v>54</v>
      </c>
      <c r="C18">
        <v>6913</v>
      </c>
      <c r="D18">
        <v>6920</v>
      </c>
      <c r="E18">
        <f t="shared" si="0"/>
        <v>13833</v>
      </c>
      <c r="F18" s="2">
        <v>1.35</v>
      </c>
      <c r="G18" s="2">
        <f t="shared" si="1"/>
        <v>10246.666666666666</v>
      </c>
    </row>
    <row r="19" spans="1:7" x14ac:dyDescent="0.2">
      <c r="A19" t="s">
        <v>18</v>
      </c>
      <c r="B19" t="s">
        <v>56</v>
      </c>
      <c r="C19">
        <v>5803</v>
      </c>
      <c r="D19">
        <v>5825</v>
      </c>
      <c r="E19">
        <f t="shared" si="0"/>
        <v>11628</v>
      </c>
      <c r="F19" s="2">
        <v>0.59</v>
      </c>
      <c r="G19" s="2">
        <f t="shared" si="1"/>
        <v>19708.474576271186</v>
      </c>
    </row>
    <row r="20" spans="1:7" x14ac:dyDescent="0.2">
      <c r="A20" t="s">
        <v>19</v>
      </c>
      <c r="B20" t="s">
        <v>56</v>
      </c>
      <c r="C20">
        <v>3515</v>
      </c>
      <c r="D20">
        <v>3492</v>
      </c>
      <c r="E20">
        <f t="shared" si="0"/>
        <v>7007</v>
      </c>
      <c r="F20" s="2">
        <v>0.74</v>
      </c>
      <c r="G20" s="2">
        <f t="shared" si="1"/>
        <v>9468.9189189189183</v>
      </c>
    </row>
    <row r="21" spans="1:7" x14ac:dyDescent="0.2">
      <c r="A21" t="s">
        <v>20</v>
      </c>
      <c r="B21" t="s">
        <v>54</v>
      </c>
      <c r="C21">
        <v>5820</v>
      </c>
      <c r="D21">
        <v>5928</v>
      </c>
      <c r="E21">
        <f t="shared" si="0"/>
        <v>11748</v>
      </c>
      <c r="F21" s="2">
        <v>2.37</v>
      </c>
      <c r="G21" s="2">
        <f t="shared" si="1"/>
        <v>4956.9620253164558</v>
      </c>
    </row>
    <row r="22" spans="1:7" x14ac:dyDescent="0.2">
      <c r="A22" t="s">
        <v>21</v>
      </c>
      <c r="B22" t="s">
        <v>52</v>
      </c>
      <c r="C22">
        <v>4685</v>
      </c>
      <c r="D22">
        <v>4625</v>
      </c>
      <c r="E22">
        <f t="shared" si="0"/>
        <v>9310</v>
      </c>
      <c r="F22" s="2">
        <v>2.12</v>
      </c>
      <c r="G22" s="2">
        <f t="shared" si="1"/>
        <v>4391.5094339622638</v>
      </c>
    </row>
    <row r="23" spans="1:7" x14ac:dyDescent="0.2">
      <c r="A23" t="s">
        <v>22</v>
      </c>
      <c r="B23" t="s">
        <v>54</v>
      </c>
      <c r="C23">
        <v>5863</v>
      </c>
      <c r="D23">
        <v>6043</v>
      </c>
      <c r="E23">
        <f t="shared" si="0"/>
        <v>11906</v>
      </c>
      <c r="F23" s="2">
        <v>3.15</v>
      </c>
      <c r="G23" s="2">
        <f t="shared" si="1"/>
        <v>3779.6825396825398</v>
      </c>
    </row>
    <row r="24" spans="1:7" x14ac:dyDescent="0.2">
      <c r="A24" t="s">
        <v>23</v>
      </c>
      <c r="B24" t="s">
        <v>56</v>
      </c>
      <c r="C24">
        <v>4120</v>
      </c>
      <c r="D24">
        <v>4177</v>
      </c>
      <c r="E24">
        <f t="shared" si="0"/>
        <v>8297</v>
      </c>
      <c r="F24" s="2">
        <v>2.4900000000000002</v>
      </c>
      <c r="G24" s="2">
        <f t="shared" si="1"/>
        <v>3332.1285140562245</v>
      </c>
    </row>
    <row r="25" spans="1:7" x14ac:dyDescent="0.2">
      <c r="A25" t="s">
        <v>24</v>
      </c>
      <c r="B25" t="s">
        <v>56</v>
      </c>
      <c r="C25">
        <v>5259</v>
      </c>
      <c r="D25">
        <v>5244</v>
      </c>
      <c r="E25">
        <f t="shared" si="0"/>
        <v>10503</v>
      </c>
      <c r="F25" s="2">
        <v>0.82</v>
      </c>
      <c r="G25" s="2">
        <f t="shared" si="1"/>
        <v>12808.536585365855</v>
      </c>
    </row>
    <row r="26" spans="1:7" x14ac:dyDescent="0.2">
      <c r="A26" t="s">
        <v>25</v>
      </c>
      <c r="B26" t="s">
        <v>56</v>
      </c>
      <c r="C26">
        <v>4330</v>
      </c>
      <c r="D26">
        <v>4418</v>
      </c>
      <c r="E26">
        <f t="shared" si="0"/>
        <v>8748</v>
      </c>
      <c r="F26" s="2">
        <v>0.54</v>
      </c>
      <c r="G26" s="2">
        <f t="shared" si="1"/>
        <v>16199.999999999998</v>
      </c>
    </row>
    <row r="27" spans="1:7" x14ac:dyDescent="0.2">
      <c r="A27" t="s">
        <v>26</v>
      </c>
      <c r="B27" t="s">
        <v>56</v>
      </c>
      <c r="C27">
        <v>5209</v>
      </c>
      <c r="D27">
        <v>5176</v>
      </c>
      <c r="E27">
        <f t="shared" si="0"/>
        <v>10385</v>
      </c>
      <c r="F27" s="2">
        <v>0.85</v>
      </c>
      <c r="G27" s="2">
        <f t="shared" si="1"/>
        <v>12217.64705882353</v>
      </c>
    </row>
    <row r="28" spans="1:7" x14ac:dyDescent="0.2">
      <c r="A28" t="s">
        <v>27</v>
      </c>
      <c r="B28" t="s">
        <v>56</v>
      </c>
      <c r="C28">
        <v>4225</v>
      </c>
      <c r="D28">
        <v>4276</v>
      </c>
      <c r="E28">
        <f t="shared" si="0"/>
        <v>8501</v>
      </c>
      <c r="F28" s="2">
        <v>0.57999999999999996</v>
      </c>
      <c r="G28" s="2">
        <f t="shared" si="1"/>
        <v>14656.896551724139</v>
      </c>
    </row>
    <row r="29" spans="1:7" x14ac:dyDescent="0.2">
      <c r="A29" t="s">
        <v>28</v>
      </c>
      <c r="B29" t="s">
        <v>56</v>
      </c>
      <c r="C29">
        <v>3505</v>
      </c>
      <c r="D29">
        <v>3600</v>
      </c>
      <c r="E29">
        <f t="shared" si="0"/>
        <v>7105</v>
      </c>
      <c r="F29" s="2">
        <v>0.41</v>
      </c>
      <c r="G29" s="2">
        <f t="shared" si="1"/>
        <v>17329.268292682929</v>
      </c>
    </row>
    <row r="30" spans="1:7" x14ac:dyDescent="0.2">
      <c r="A30" t="s">
        <v>29</v>
      </c>
      <c r="B30" t="s">
        <v>56</v>
      </c>
      <c r="C30">
        <v>4985</v>
      </c>
      <c r="D30">
        <v>5040</v>
      </c>
      <c r="E30">
        <f t="shared" si="0"/>
        <v>10025</v>
      </c>
      <c r="F30" s="2">
        <v>0.84</v>
      </c>
      <c r="G30" s="2">
        <f t="shared" si="1"/>
        <v>11934.523809523809</v>
      </c>
    </row>
    <row r="31" spans="1:7" x14ac:dyDescent="0.2">
      <c r="A31" t="s">
        <v>30</v>
      </c>
      <c r="B31" t="s">
        <v>53</v>
      </c>
      <c r="C31">
        <v>2859</v>
      </c>
      <c r="D31">
        <v>3014</v>
      </c>
      <c r="E31">
        <f t="shared" si="0"/>
        <v>5873</v>
      </c>
      <c r="F31" s="2">
        <v>1.24</v>
      </c>
      <c r="G31" s="2">
        <f t="shared" si="1"/>
        <v>4736.2903225806449</v>
      </c>
    </row>
    <row r="32" spans="1:7" x14ac:dyDescent="0.2">
      <c r="A32" t="s">
        <v>31</v>
      </c>
      <c r="B32" t="s">
        <v>53</v>
      </c>
      <c r="C32">
        <v>5700</v>
      </c>
      <c r="D32">
        <v>5849</v>
      </c>
      <c r="E32">
        <f t="shared" si="0"/>
        <v>11549</v>
      </c>
      <c r="F32" s="2">
        <v>1.1000000000000001</v>
      </c>
      <c r="G32" s="2">
        <f t="shared" si="1"/>
        <v>10499.090909090908</v>
      </c>
    </row>
    <row r="33" spans="1:7" x14ac:dyDescent="0.2">
      <c r="A33" t="s">
        <v>32</v>
      </c>
      <c r="B33" t="s">
        <v>53</v>
      </c>
      <c r="C33">
        <v>5249</v>
      </c>
      <c r="D33">
        <v>5327</v>
      </c>
      <c r="E33">
        <f t="shared" si="0"/>
        <v>10576</v>
      </c>
      <c r="F33" s="2">
        <v>0.75</v>
      </c>
      <c r="G33" s="2">
        <f t="shared" si="1"/>
        <v>14101.333333333334</v>
      </c>
    </row>
    <row r="34" spans="1:7" x14ac:dyDescent="0.2">
      <c r="A34" t="s">
        <v>33</v>
      </c>
      <c r="B34" t="s">
        <v>53</v>
      </c>
      <c r="C34">
        <v>5413</v>
      </c>
      <c r="D34">
        <v>5432</v>
      </c>
      <c r="E34">
        <f t="shared" si="0"/>
        <v>10845</v>
      </c>
      <c r="F34" s="2">
        <v>0.91</v>
      </c>
      <c r="G34" s="2">
        <f t="shared" si="1"/>
        <v>11917.582417582416</v>
      </c>
    </row>
    <row r="35" spans="1:7" x14ac:dyDescent="0.2">
      <c r="A35" t="s">
        <v>34</v>
      </c>
      <c r="B35" t="s">
        <v>53</v>
      </c>
      <c r="C35">
        <v>5882</v>
      </c>
      <c r="D35">
        <v>5872</v>
      </c>
      <c r="E35">
        <f t="shared" si="0"/>
        <v>11754</v>
      </c>
      <c r="F35" s="2">
        <v>1.86</v>
      </c>
      <c r="G35" s="2">
        <f t="shared" si="1"/>
        <v>6319.3548387096771</v>
      </c>
    </row>
    <row r="36" spans="1:7" x14ac:dyDescent="0.2">
      <c r="A36" t="s">
        <v>35</v>
      </c>
      <c r="B36" t="s">
        <v>53</v>
      </c>
      <c r="C36">
        <v>3172</v>
      </c>
      <c r="D36">
        <v>3240</v>
      </c>
      <c r="E36">
        <f t="shared" si="0"/>
        <v>6412</v>
      </c>
      <c r="F36" s="2">
        <v>0.88</v>
      </c>
      <c r="G36" s="2">
        <f t="shared" si="1"/>
        <v>7286.363636363636</v>
      </c>
    </row>
    <row r="37" spans="1:7" x14ac:dyDescent="0.2">
      <c r="A37" t="s">
        <v>36</v>
      </c>
      <c r="B37" t="s">
        <v>52</v>
      </c>
      <c r="C37">
        <v>3389</v>
      </c>
      <c r="D37">
        <v>3515</v>
      </c>
      <c r="E37">
        <f t="shared" si="0"/>
        <v>6904</v>
      </c>
      <c r="F37" s="2">
        <v>0.62</v>
      </c>
      <c r="G37" s="2">
        <f t="shared" si="1"/>
        <v>11135.483870967742</v>
      </c>
    </row>
    <row r="38" spans="1:7" x14ac:dyDescent="0.2">
      <c r="A38" t="s">
        <v>37</v>
      </c>
      <c r="B38" t="s">
        <v>52</v>
      </c>
      <c r="C38">
        <v>3734</v>
      </c>
      <c r="D38">
        <v>3730</v>
      </c>
      <c r="E38">
        <f t="shared" si="0"/>
        <v>7464</v>
      </c>
      <c r="F38" s="2">
        <v>0.51</v>
      </c>
      <c r="G38" s="2">
        <f t="shared" si="1"/>
        <v>14635.294117647059</v>
      </c>
    </row>
    <row r="39" spans="1:7" x14ac:dyDescent="0.2">
      <c r="A39" t="s">
        <v>38</v>
      </c>
      <c r="B39" t="s">
        <v>52</v>
      </c>
      <c r="C39">
        <v>2061</v>
      </c>
      <c r="D39">
        <v>2072</v>
      </c>
      <c r="E39">
        <f t="shared" si="0"/>
        <v>4133</v>
      </c>
      <c r="F39" s="2">
        <v>0.67</v>
      </c>
      <c r="G39" s="2">
        <f t="shared" si="1"/>
        <v>6168.6567164179105</v>
      </c>
    </row>
    <row r="40" spans="1:7" x14ac:dyDescent="0.2">
      <c r="A40" t="s">
        <v>39</v>
      </c>
      <c r="B40" t="s">
        <v>52</v>
      </c>
      <c r="C40">
        <v>3749</v>
      </c>
      <c r="D40">
        <v>3731</v>
      </c>
      <c r="E40">
        <f t="shared" si="0"/>
        <v>7480</v>
      </c>
      <c r="F40" s="2">
        <v>0.73</v>
      </c>
      <c r="G40" s="2">
        <f t="shared" si="1"/>
        <v>10246.575342465754</v>
      </c>
    </row>
    <row r="41" spans="1:7" x14ac:dyDescent="0.2">
      <c r="A41" t="s">
        <v>40</v>
      </c>
      <c r="B41" t="s">
        <v>52</v>
      </c>
      <c r="C41">
        <v>3732</v>
      </c>
      <c r="D41">
        <v>3514</v>
      </c>
      <c r="E41">
        <f t="shared" si="0"/>
        <v>7246</v>
      </c>
      <c r="F41" s="2">
        <v>0.86</v>
      </c>
      <c r="G41" s="2">
        <f t="shared" si="1"/>
        <v>8425.5813953488378</v>
      </c>
    </row>
    <row r="42" spans="1:7" x14ac:dyDescent="0.2">
      <c r="A42" t="s">
        <v>41</v>
      </c>
      <c r="B42" t="s">
        <v>55</v>
      </c>
      <c r="C42">
        <v>3548</v>
      </c>
      <c r="D42">
        <v>3734</v>
      </c>
      <c r="E42">
        <f t="shared" si="0"/>
        <v>7282</v>
      </c>
      <c r="F42" s="2">
        <v>0.67800000000000005</v>
      </c>
      <c r="G42" s="2">
        <f t="shared" si="1"/>
        <v>10740.412979351031</v>
      </c>
    </row>
    <row r="43" spans="1:7" x14ac:dyDescent="0.2">
      <c r="A43" t="s">
        <v>42</v>
      </c>
      <c r="B43" t="s">
        <v>55</v>
      </c>
      <c r="C43">
        <v>5711</v>
      </c>
      <c r="D43">
        <v>5627</v>
      </c>
      <c r="E43">
        <f t="shared" si="0"/>
        <v>11338</v>
      </c>
      <c r="F43" s="2">
        <v>1.35</v>
      </c>
      <c r="G43" s="2">
        <f t="shared" si="1"/>
        <v>8398.5185185185182</v>
      </c>
    </row>
    <row r="44" spans="1:7" x14ac:dyDescent="0.2">
      <c r="A44" t="s">
        <v>43</v>
      </c>
      <c r="B44" t="s">
        <v>55</v>
      </c>
      <c r="C44">
        <v>7209</v>
      </c>
      <c r="D44">
        <v>7079</v>
      </c>
      <c r="E44">
        <f t="shared" si="0"/>
        <v>14288</v>
      </c>
      <c r="F44" s="2">
        <v>1.07</v>
      </c>
      <c r="G44" s="2">
        <f t="shared" si="1"/>
        <v>13353.271028037383</v>
      </c>
    </row>
    <row r="45" spans="1:7" x14ac:dyDescent="0.2">
      <c r="A45" t="s">
        <v>44</v>
      </c>
      <c r="B45" t="s">
        <v>54</v>
      </c>
      <c r="C45">
        <v>3247</v>
      </c>
      <c r="D45">
        <v>3391</v>
      </c>
      <c r="E45">
        <f t="shared" si="0"/>
        <v>6638</v>
      </c>
      <c r="F45" s="2">
        <v>0.5</v>
      </c>
      <c r="G45" s="2">
        <f t="shared" si="1"/>
        <v>13276</v>
      </c>
    </row>
    <row r="46" spans="1:7" x14ac:dyDescent="0.2">
      <c r="A46" t="s">
        <v>45</v>
      </c>
      <c r="B46" t="s">
        <v>54</v>
      </c>
      <c r="C46">
        <v>2253</v>
      </c>
      <c r="D46">
        <v>2352</v>
      </c>
      <c r="E46">
        <f t="shared" si="0"/>
        <v>4605</v>
      </c>
      <c r="F46" s="2">
        <v>0.37</v>
      </c>
      <c r="G46" s="2">
        <f t="shared" si="1"/>
        <v>12445.945945945947</v>
      </c>
    </row>
    <row r="47" spans="1:7" x14ac:dyDescent="0.2">
      <c r="A47" t="s">
        <v>46</v>
      </c>
      <c r="B47" t="s">
        <v>54</v>
      </c>
      <c r="C47">
        <v>5177</v>
      </c>
      <c r="D47">
        <v>5348</v>
      </c>
      <c r="E47">
        <f t="shared" si="0"/>
        <v>10525</v>
      </c>
      <c r="F47" s="2">
        <v>0.79</v>
      </c>
      <c r="G47" s="2">
        <f t="shared" si="1"/>
        <v>13322.784810126581</v>
      </c>
    </row>
    <row r="48" spans="1:7" x14ac:dyDescent="0.2">
      <c r="A48" t="s">
        <v>47</v>
      </c>
      <c r="B48" t="s">
        <v>54</v>
      </c>
      <c r="C48">
        <v>1775</v>
      </c>
      <c r="D48">
        <v>5928</v>
      </c>
      <c r="E48">
        <f t="shared" si="0"/>
        <v>7703</v>
      </c>
      <c r="F48" s="2">
        <v>0.39</v>
      </c>
      <c r="G48" s="2">
        <f t="shared" si="1"/>
        <v>19751.282051282051</v>
      </c>
    </row>
    <row r="49" spans="1:7" x14ac:dyDescent="0.2">
      <c r="A49" t="s">
        <v>48</v>
      </c>
      <c r="B49" t="s">
        <v>51</v>
      </c>
      <c r="C49">
        <v>5123</v>
      </c>
      <c r="D49">
        <v>5097</v>
      </c>
      <c r="E49">
        <f t="shared" si="0"/>
        <v>10220</v>
      </c>
      <c r="F49" s="2">
        <v>1.04</v>
      </c>
      <c r="G49" s="2">
        <f t="shared" si="1"/>
        <v>9826.9230769230762</v>
      </c>
    </row>
    <row r="50" spans="1:7" x14ac:dyDescent="0.2">
      <c r="A50" t="s">
        <v>49</v>
      </c>
      <c r="B50" t="s">
        <v>51</v>
      </c>
      <c r="C50">
        <v>5038</v>
      </c>
      <c r="D50">
        <v>4920</v>
      </c>
      <c r="E50">
        <f t="shared" si="0"/>
        <v>9958</v>
      </c>
      <c r="F50" s="2">
        <v>1.1000000000000001</v>
      </c>
      <c r="G50" s="2">
        <f t="shared" si="1"/>
        <v>9052.7272727272721</v>
      </c>
    </row>
    <row r="51" spans="1:7" x14ac:dyDescent="0.2">
      <c r="A51" t="s">
        <v>50</v>
      </c>
      <c r="B51" t="s">
        <v>51</v>
      </c>
      <c r="C51">
        <v>3526</v>
      </c>
      <c r="D51">
        <v>3573</v>
      </c>
      <c r="E51">
        <f t="shared" si="0"/>
        <v>7099</v>
      </c>
      <c r="F51" s="2">
        <v>0.64</v>
      </c>
      <c r="G51" s="2">
        <f t="shared" si="1"/>
        <v>11092.1875</v>
      </c>
    </row>
    <row r="52" spans="1:7" s="1" customFormat="1" x14ac:dyDescent="0.2">
      <c r="C52" s="1">
        <f>SUM(C2:C51)</f>
        <v>219100</v>
      </c>
      <c r="D52" s="1">
        <f>SUM(D2:D51)</f>
        <v>224718</v>
      </c>
      <c r="E52" s="1">
        <f>SUM(E2:E51)</f>
        <v>443818</v>
      </c>
      <c r="F52" s="3">
        <f>SUM(F2:F51)</f>
        <v>61.309999999999995</v>
      </c>
      <c r="G52" s="3"/>
    </row>
  </sheetData>
  <autoFilter ref="B1:B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2023-04-11T06:15:51Z</dcterms:created>
  <dcterms:modified xsi:type="dcterms:W3CDTF">2023-05-04T23:28:07Z</dcterms:modified>
</cp:coreProperties>
</file>